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5005" windowHeight="10200"/>
  </bookViews>
  <sheets>
    <sheet name="아동친화예산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5" l="1"/>
  <c r="L8" i="5"/>
  <c r="J8" i="5"/>
  <c r="I8" i="5" l="1"/>
  <c r="I239" i="5"/>
  <c r="I238" i="5"/>
  <c r="I237" i="5"/>
  <c r="I236" i="5"/>
  <c r="I233" i="5" s="1"/>
  <c r="I235" i="5"/>
  <c r="L234" i="5"/>
  <c r="I234" i="5"/>
  <c r="L233" i="5"/>
  <c r="K233" i="5"/>
  <c r="J233" i="5"/>
  <c r="I232" i="5"/>
  <c r="I231" i="5"/>
  <c r="I230" i="5"/>
  <c r="I229" i="5"/>
  <c r="I228" i="5"/>
  <c r="I227" i="5"/>
  <c r="I226" i="5"/>
  <c r="L225" i="5"/>
  <c r="K225" i="5"/>
  <c r="J225" i="5"/>
  <c r="I224" i="5"/>
  <c r="I223" i="5"/>
  <c r="L222" i="5"/>
  <c r="K222" i="5"/>
  <c r="J222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L203" i="5"/>
  <c r="K203" i="5"/>
  <c r="J203" i="5"/>
  <c r="I202" i="5"/>
  <c r="I200" i="5" s="1"/>
  <c r="I201" i="5"/>
  <c r="L200" i="5"/>
  <c r="K200" i="5"/>
  <c r="J200" i="5"/>
  <c r="I199" i="5"/>
  <c r="I198" i="5"/>
  <c r="L197" i="5"/>
  <c r="K197" i="5"/>
  <c r="J197" i="5"/>
  <c r="I197" i="5"/>
  <c r="I196" i="5"/>
  <c r="L195" i="5"/>
  <c r="K195" i="5"/>
  <c r="J195" i="5"/>
  <c r="I195" i="5"/>
  <c r="I194" i="5"/>
  <c r="I193" i="5"/>
  <c r="I192" i="5"/>
  <c r="I191" i="5"/>
  <c r="I190" i="5"/>
  <c r="I189" i="5"/>
  <c r="L188" i="5"/>
  <c r="K188" i="5"/>
  <c r="J188" i="5"/>
  <c r="I187" i="5"/>
  <c r="L186" i="5"/>
  <c r="K186" i="5"/>
  <c r="J186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6" i="5"/>
  <c r="I135" i="5"/>
  <c r="I134" i="5"/>
  <c r="I133" i="5"/>
  <c r="I132" i="5"/>
  <c r="I131" i="5"/>
  <c r="L130" i="5"/>
  <c r="K130" i="5"/>
  <c r="J130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99" i="5" s="1"/>
  <c r="I101" i="5"/>
  <c r="I100" i="5"/>
  <c r="L99" i="5"/>
  <c r="K99" i="5"/>
  <c r="J99" i="5"/>
  <c r="I98" i="5"/>
  <c r="L97" i="5"/>
  <c r="K97" i="5"/>
  <c r="J97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L52" i="5"/>
  <c r="K52" i="5"/>
  <c r="J52" i="5"/>
  <c r="I51" i="5"/>
  <c r="I50" i="5"/>
  <c r="I49" i="5"/>
  <c r="I48" i="5"/>
  <c r="I47" i="5"/>
  <c r="I46" i="5"/>
  <c r="I45" i="5"/>
  <c r="L44" i="5"/>
  <c r="K44" i="5"/>
  <c r="J44" i="5"/>
  <c r="I43" i="5"/>
  <c r="I42" i="5"/>
  <c r="I41" i="5"/>
  <c r="I40" i="5"/>
  <c r="I39" i="5"/>
  <c r="I38" i="5"/>
  <c r="I37" i="5"/>
  <c r="I36" i="5"/>
  <c r="I35" i="5"/>
  <c r="L34" i="5"/>
  <c r="K34" i="5"/>
  <c r="J34" i="5"/>
  <c r="I33" i="5"/>
  <c r="I31" i="5" s="1"/>
  <c r="I32" i="5"/>
  <c r="L31" i="5"/>
  <c r="K31" i="5"/>
  <c r="J31" i="5"/>
  <c r="I30" i="5"/>
  <c r="I29" i="5"/>
  <c r="I28" i="5"/>
  <c r="I27" i="5"/>
  <c r="I26" i="5"/>
  <c r="L25" i="5"/>
  <c r="K25" i="5"/>
  <c r="J25" i="5"/>
  <c r="J23" i="5" s="1"/>
  <c r="I24" i="5"/>
  <c r="I23" i="5" s="1"/>
  <c r="L23" i="5"/>
  <c r="I22" i="5"/>
  <c r="I21" i="5"/>
  <c r="I20" i="5"/>
  <c r="I19" i="5"/>
  <c r="I18" i="5"/>
  <c r="I17" i="5"/>
  <c r="I16" i="5"/>
  <c r="I15" i="5"/>
  <c r="I14" i="5"/>
  <c r="I13" i="5"/>
  <c r="I12" i="5"/>
  <c r="L11" i="5"/>
  <c r="K11" i="5"/>
  <c r="J11" i="5"/>
  <c r="I10" i="5"/>
  <c r="L9" i="5"/>
  <c r="I9" i="5"/>
  <c r="I52" i="5" l="1"/>
  <c r="I225" i="5"/>
  <c r="I25" i="5"/>
  <c r="I44" i="5"/>
  <c r="I203" i="5"/>
  <c r="I11" i="5"/>
  <c r="I34" i="5"/>
  <c r="I188" i="5"/>
</calcChain>
</file>

<file path=xl/sharedStrings.xml><?xml version="1.0" encoding="utf-8"?>
<sst xmlns="http://schemas.openxmlformats.org/spreadsheetml/2006/main" count="1515" uniqueCount="278">
  <si>
    <t>연번</t>
    <phoneticPr fontId="3" type="noConversion"/>
  </si>
  <si>
    <t>부서명</t>
    <phoneticPr fontId="3" type="noConversion"/>
  </si>
  <si>
    <t>세부사업명</t>
    <phoneticPr fontId="3" type="noConversion"/>
  </si>
  <si>
    <t>친화도평가영역</t>
    <phoneticPr fontId="3" type="noConversion"/>
  </si>
  <si>
    <t>합계</t>
    <phoneticPr fontId="3" type="noConversion"/>
  </si>
  <si>
    <t>국비</t>
    <phoneticPr fontId="3" type="noConversion"/>
  </si>
  <si>
    <t>시비</t>
    <phoneticPr fontId="3" type="noConversion"/>
  </si>
  <si>
    <t>구비(기금포함)</t>
    <phoneticPr fontId="3" type="noConversion"/>
  </si>
  <si>
    <t>기획실</t>
    <phoneticPr fontId="3" type="noConversion"/>
  </si>
  <si>
    <t>평생교육과</t>
    <phoneticPr fontId="3" type="noConversion"/>
  </si>
  <si>
    <t>평생학습도시 추진</t>
    <phoneticPr fontId="3" type="noConversion"/>
  </si>
  <si>
    <t>사하아카데미 운영</t>
    <phoneticPr fontId="3" type="noConversion"/>
  </si>
  <si>
    <t>교육 투자 및 지원</t>
    <phoneticPr fontId="3" type="noConversion"/>
  </si>
  <si>
    <t>다행복교육지구 운영</t>
    <phoneticPr fontId="3" type="noConversion"/>
  </si>
  <si>
    <t>진로교육 지원</t>
    <phoneticPr fontId="3" type="noConversion"/>
  </si>
  <si>
    <t>작은도서관 운영</t>
    <phoneticPr fontId="3" type="noConversion"/>
  </si>
  <si>
    <t>독서문화사업 추진</t>
    <phoneticPr fontId="3" type="noConversion"/>
  </si>
  <si>
    <t>생활SOC복합화 사업추진(생활문화센터)</t>
    <phoneticPr fontId="3" type="noConversion"/>
  </si>
  <si>
    <t>사하 생태문화 체험 팸투어</t>
    <phoneticPr fontId="3" type="noConversion"/>
  </si>
  <si>
    <t>사하문화 투어</t>
    <phoneticPr fontId="3" type="noConversion"/>
  </si>
  <si>
    <t>보드랑사업장 운영</t>
    <phoneticPr fontId="3" type="noConversion"/>
  </si>
  <si>
    <t>합창단 운영</t>
    <phoneticPr fontId="3" type="noConversion"/>
  </si>
  <si>
    <t>민원여권과</t>
    <phoneticPr fontId="3" type="noConversion"/>
  </si>
  <si>
    <t>어린이교통안전 교육</t>
    <phoneticPr fontId="3" type="noConversion"/>
  </si>
  <si>
    <t>초등 돌봄교실 과일간식 지원</t>
    <phoneticPr fontId="3" type="noConversion"/>
  </si>
  <si>
    <t>경제진흥과</t>
    <phoneticPr fontId="3" type="noConversion"/>
  </si>
  <si>
    <t>교통안전시설물 정비</t>
    <phoneticPr fontId="3" type="noConversion"/>
  </si>
  <si>
    <t>무단횡단 금지시설 설치(중앙분리대)</t>
    <phoneticPr fontId="3" type="noConversion"/>
  </si>
  <si>
    <t>선진교통문화조성사업 지원</t>
    <phoneticPr fontId="3" type="noConversion"/>
  </si>
  <si>
    <t>생태체험학습 운영</t>
    <phoneticPr fontId="3" type="noConversion"/>
  </si>
  <si>
    <t>어린이 기호식품 전담관리원 활동</t>
    <phoneticPr fontId="3" type="noConversion"/>
  </si>
  <si>
    <t>환경위생과</t>
    <phoneticPr fontId="3" type="noConversion"/>
  </si>
  <si>
    <t>식품위생업소 지도(어린이 보호구역 표지판 제작)</t>
    <phoneticPr fontId="3" type="noConversion"/>
  </si>
  <si>
    <t>복지정책과</t>
    <phoneticPr fontId="3" type="noConversion"/>
  </si>
  <si>
    <t>저소득층 학생 교육비 지원사업</t>
    <phoneticPr fontId="3" type="noConversion"/>
  </si>
  <si>
    <t>아동복지교사 파견 지원</t>
    <phoneticPr fontId="3" type="noConversion"/>
  </si>
  <si>
    <t>지역아동센터 운영비 지원</t>
    <phoneticPr fontId="3" type="noConversion"/>
  </si>
  <si>
    <t>특수목적형 지역아동센터 추가지원</t>
    <phoneticPr fontId="3" type="noConversion"/>
  </si>
  <si>
    <t>토요운영 지역아동센터 추가 지원</t>
    <phoneticPr fontId="3" type="noConversion"/>
  </si>
  <si>
    <t>야간 전담 지역아동센터 지원</t>
    <phoneticPr fontId="3" type="noConversion"/>
  </si>
  <si>
    <t>지역아동센터 종사자 처우개선 지원</t>
    <phoneticPr fontId="3" type="noConversion"/>
  </si>
  <si>
    <t>지역아동센터 프로그램비 지원</t>
    <phoneticPr fontId="3" type="noConversion"/>
  </si>
  <si>
    <t>지역아동센터 환경개선비 지원</t>
    <phoneticPr fontId="3" type="noConversion"/>
  </si>
  <si>
    <t>지역아동센터 냉난방비 지원</t>
    <phoneticPr fontId="3" type="noConversion"/>
  </si>
  <si>
    <t>다함께돌봄센터 운영비 지원</t>
    <phoneticPr fontId="3" type="noConversion"/>
  </si>
  <si>
    <t>다함께돌봄센터 인건비 지원</t>
    <phoneticPr fontId="3" type="noConversion"/>
  </si>
  <si>
    <t>아동친화도시 조성</t>
    <phoneticPr fontId="3" type="noConversion"/>
  </si>
  <si>
    <t>평일·방학중 아동급식지원</t>
    <phoneticPr fontId="3" type="noConversion"/>
  </si>
  <si>
    <t>토.공휴일 아동급식지원</t>
    <phoneticPr fontId="3" type="noConversion"/>
  </si>
  <si>
    <t>아동수당 지원</t>
    <phoneticPr fontId="3" type="noConversion"/>
  </si>
  <si>
    <t>아동양육시설(애아원) 생계 지원</t>
    <phoneticPr fontId="3" type="noConversion"/>
  </si>
  <si>
    <t>아동양육시설(애아원) 운영 지원</t>
    <phoneticPr fontId="3" type="noConversion"/>
  </si>
  <si>
    <t>아동양육시설(애아원) 건전육성 지원</t>
    <phoneticPr fontId="3" type="noConversion"/>
  </si>
  <si>
    <t>아동양육시설(애아원) 안전관리 및 환경개선 지원</t>
    <phoneticPr fontId="3" type="noConversion"/>
  </si>
  <si>
    <t>요보호아동 공동생활가정(하늘채) 운영</t>
    <phoneticPr fontId="3" type="noConversion"/>
  </si>
  <si>
    <t>요호보아동 공동생활가정(하늘채) 운영(시비)</t>
    <phoneticPr fontId="3" type="noConversion"/>
  </si>
  <si>
    <t>학대피해아동 쉼터(일곱빛) 운영</t>
    <phoneticPr fontId="3" type="noConversion"/>
  </si>
  <si>
    <t>학대피해아동쉼터(일곱빛) 운영지원(시비)</t>
    <phoneticPr fontId="3" type="noConversion"/>
  </si>
  <si>
    <t>가정위탁아동 양육수당 지원</t>
    <phoneticPr fontId="3" type="noConversion"/>
  </si>
  <si>
    <t>아동발달 지원계좌(디딤씨앗통장) 지원</t>
    <phoneticPr fontId="3" type="noConversion"/>
  </si>
  <si>
    <t>아동학대조사 공공화 사업</t>
    <phoneticPr fontId="3" type="noConversion"/>
  </si>
  <si>
    <t>아동보호전담요원 사업비</t>
    <phoneticPr fontId="3" type="noConversion"/>
  </si>
  <si>
    <t>아동통합사례관리사 인건비 지원</t>
    <phoneticPr fontId="3" type="noConversion"/>
  </si>
  <si>
    <t>아동복지교사(지역사회복지사) 인건비 지원</t>
    <phoneticPr fontId="3" type="noConversion"/>
  </si>
  <si>
    <t>아동보호전담요원 인건비 지원</t>
    <phoneticPr fontId="3" type="noConversion"/>
  </si>
  <si>
    <t>생활보장과</t>
    <phoneticPr fontId="3" type="noConversion"/>
  </si>
  <si>
    <t>교육급여</t>
    <phoneticPr fontId="3" type="noConversion"/>
  </si>
  <si>
    <t>복지사업과</t>
    <phoneticPr fontId="3" type="noConversion"/>
  </si>
  <si>
    <t>장애인가정 출산 및 양육 지원금 지원</t>
    <phoneticPr fontId="3" type="noConversion"/>
  </si>
  <si>
    <t>언어발달 바우처 지원</t>
    <phoneticPr fontId="3" type="noConversion"/>
  </si>
  <si>
    <t>발달장애인 부모상담지원</t>
    <phoneticPr fontId="3" type="noConversion"/>
  </si>
  <si>
    <t>청소년 발달장애학생 방과후활동서비스 지원</t>
    <phoneticPr fontId="3" type="noConversion"/>
  </si>
  <si>
    <t>청소년 방과후아카데미 운영</t>
    <phoneticPr fontId="3" type="noConversion"/>
  </si>
  <si>
    <t>청소년 방과후아카데미 종사자 지원</t>
    <phoneticPr fontId="3" type="noConversion"/>
  </si>
  <si>
    <t>청소년지도사 배치지원</t>
    <phoneticPr fontId="3" type="noConversion"/>
  </si>
  <si>
    <t>청소년동아리 지원</t>
    <phoneticPr fontId="3" type="noConversion"/>
  </si>
  <si>
    <t>청소년참여위원회 운영 지원</t>
    <phoneticPr fontId="3" type="noConversion"/>
  </si>
  <si>
    <t>여성청소년 보건위생 물품 지원</t>
    <phoneticPr fontId="3" type="noConversion"/>
  </si>
  <si>
    <t>청소년 특별지원 사업</t>
    <phoneticPr fontId="3" type="noConversion"/>
  </si>
  <si>
    <t>청소년안전망 선도사업</t>
    <phoneticPr fontId="3" type="noConversion"/>
  </si>
  <si>
    <t>청소년안전망 고위기청소년 맞춤형프로그램</t>
    <phoneticPr fontId="3" type="noConversion"/>
  </si>
  <si>
    <t>청소년안전망 운영(청소년상담복지센터)</t>
    <phoneticPr fontId="3" type="noConversion"/>
  </si>
  <si>
    <t>청소년안전망 지방상담사업(청소년상담복지센터)</t>
    <phoneticPr fontId="3" type="noConversion"/>
  </si>
  <si>
    <t>청소년동반자 사업(청소년상담복지센터)</t>
    <phoneticPr fontId="3" type="noConversion"/>
  </si>
  <si>
    <t>청소년 보호</t>
    <phoneticPr fontId="3" type="noConversion"/>
  </si>
  <si>
    <t>청소년지도협의회 지원</t>
    <phoneticPr fontId="3" type="noConversion"/>
  </si>
  <si>
    <t>여성가족과</t>
    <phoneticPr fontId="3" type="noConversion"/>
  </si>
  <si>
    <t>공동육아나눔터 운영</t>
    <phoneticPr fontId="3" type="noConversion"/>
  </si>
  <si>
    <t>아이돌봄 지원</t>
    <phoneticPr fontId="3" type="noConversion"/>
  </si>
  <si>
    <t>첫만남 이용권</t>
    <phoneticPr fontId="3" type="noConversion"/>
  </si>
  <si>
    <t>둘째이후 출산지원금</t>
    <phoneticPr fontId="3" type="noConversion"/>
  </si>
  <si>
    <t>출산지원금</t>
    <phoneticPr fontId="3" type="noConversion"/>
  </si>
  <si>
    <t>다문화가정 특성화 사업비</t>
    <phoneticPr fontId="3" type="noConversion"/>
  </si>
  <si>
    <t>다문화가정 교육지원</t>
    <phoneticPr fontId="3" type="noConversion"/>
  </si>
  <si>
    <t>다문화 이해 증진</t>
    <phoneticPr fontId="3" type="noConversion"/>
  </si>
  <si>
    <t>생계급여(모자보호시설)</t>
    <phoneticPr fontId="3" type="noConversion"/>
  </si>
  <si>
    <t>모자보호시설 운영</t>
    <phoneticPr fontId="3" type="noConversion"/>
  </si>
  <si>
    <t>모자보호시설 퇴소자 자립정착금 지원</t>
    <phoneticPr fontId="3" type="noConversion"/>
  </si>
  <si>
    <t>한부모가족 시설 입소자 상담치료 지원</t>
    <phoneticPr fontId="3" type="noConversion"/>
  </si>
  <si>
    <t>한부모가족 복지시설 자립프로그램 지원</t>
    <phoneticPr fontId="3" type="noConversion"/>
  </si>
  <si>
    <t>한부모가족자녀 양육비 등 지원</t>
    <phoneticPr fontId="3" type="noConversion"/>
  </si>
  <si>
    <t>한부모가족 자녀 지원</t>
    <phoneticPr fontId="3" type="noConversion"/>
  </si>
  <si>
    <t>청소년 한부모 아동양육비 지원</t>
    <phoneticPr fontId="3" type="noConversion"/>
  </si>
  <si>
    <t>모자보호시설 아이돌봄서비스 지원</t>
    <phoneticPr fontId="3" type="noConversion"/>
  </si>
  <si>
    <t>한부모시설 사회복무요원 인건비 등 지원</t>
    <phoneticPr fontId="3" type="noConversion"/>
  </si>
  <si>
    <t>영유아보육료 지원</t>
    <phoneticPr fontId="3" type="noConversion"/>
  </si>
  <si>
    <t>누리과정 보육료 지원</t>
    <phoneticPr fontId="3" type="noConversion"/>
  </si>
  <si>
    <t>가정양육수당 지원(어린이집 미이용아동)</t>
    <phoneticPr fontId="3" type="noConversion"/>
  </si>
  <si>
    <t>시간제보육서비스 제공 지원</t>
    <phoneticPr fontId="3" type="noConversion"/>
  </si>
  <si>
    <t>어린이집 운영지원(교재교구비)</t>
    <phoneticPr fontId="3" type="noConversion"/>
  </si>
  <si>
    <t>어린이집 운영지원(차량운영비)</t>
    <phoneticPr fontId="3" type="noConversion"/>
  </si>
  <si>
    <t>정부지원어린이집 차량운영비 지원</t>
    <phoneticPr fontId="3" type="noConversion"/>
  </si>
  <si>
    <t>정부미지원어린이집 차량운영비 지원</t>
    <phoneticPr fontId="3" type="noConversion"/>
  </si>
  <si>
    <t>어린이집 현장학습 및 문화행사비 지원</t>
    <phoneticPr fontId="3" type="noConversion"/>
  </si>
  <si>
    <t>어린이집 폴리스콜 서비스 지원</t>
    <phoneticPr fontId="3" type="noConversion"/>
  </si>
  <si>
    <t>공공형어린이집 지원</t>
    <phoneticPr fontId="3" type="noConversion"/>
  </si>
  <si>
    <t>공공형어린이집 조리원 인건비 지원</t>
    <phoneticPr fontId="3" type="noConversion"/>
  </si>
  <si>
    <t>보육교직원 처우개선 지원(보조교사인건비)</t>
    <phoneticPr fontId="3" type="noConversion"/>
  </si>
  <si>
    <t>보육교직원 처우개선 지원(근무환경개선비)</t>
    <phoneticPr fontId="3" type="noConversion"/>
  </si>
  <si>
    <t>정부미지원어린이집 보육교사 복지수당 지원</t>
    <phoneticPr fontId="3" type="noConversion"/>
  </si>
  <si>
    <t>정부미지원어린이집 보육교사 장기근속수당 지원</t>
    <phoneticPr fontId="3" type="noConversion"/>
  </si>
  <si>
    <t>정부미지원어린이집 조리원 인건비 지원</t>
    <phoneticPr fontId="3" type="noConversion"/>
  </si>
  <si>
    <t>장애영유아어린이집 보육교사 특수근무수당 지원</t>
    <phoneticPr fontId="3" type="noConversion"/>
  </si>
  <si>
    <t>장애영유아어린이집 치료사 근무환경개선비 지원</t>
    <phoneticPr fontId="3" type="noConversion"/>
  </si>
  <si>
    <t>장애아전문어린이집 차량기사 인건비 지원</t>
    <phoneticPr fontId="3" type="noConversion"/>
  </si>
  <si>
    <t>부모모니터링단 운영</t>
    <phoneticPr fontId="3" type="noConversion"/>
  </si>
  <si>
    <t>어린이집 지원</t>
    <phoneticPr fontId="3" type="noConversion"/>
  </si>
  <si>
    <t>하단어린이집 부지 대부료</t>
    <phoneticPr fontId="3" type="noConversion"/>
  </si>
  <si>
    <t>정부미지원 어린이집 모든아이 차액보육료 지원</t>
    <phoneticPr fontId="3" type="noConversion"/>
  </si>
  <si>
    <t>장애아전문어린이집 영유아 안전장치 운영 지원</t>
    <phoneticPr fontId="3" type="noConversion"/>
  </si>
  <si>
    <t>안전총괄과</t>
    <phoneticPr fontId="3" type="noConversion"/>
  </si>
  <si>
    <t>육교승강기관리(을숙도초교앞, 다대초교앞 육교승강기 유지관리)</t>
    <phoneticPr fontId="3" type="noConversion"/>
  </si>
  <si>
    <t>공동주택  관리 지원(놀이터 등 관리)</t>
    <phoneticPr fontId="3" type="noConversion"/>
  </si>
  <si>
    <t>건축과</t>
    <phoneticPr fontId="3" type="noConversion"/>
  </si>
  <si>
    <t>산림녹지과</t>
    <phoneticPr fontId="3" type="noConversion"/>
  </si>
  <si>
    <t>국가예방접종 실시(지원)</t>
    <phoneticPr fontId="3" type="noConversion"/>
  </si>
  <si>
    <t>인플루엔자 접종</t>
    <phoneticPr fontId="3" type="noConversion"/>
  </si>
  <si>
    <t>아동청소년 정신건강증진</t>
    <phoneticPr fontId="3" type="noConversion"/>
  </si>
  <si>
    <t>통합건강증진사업</t>
    <phoneticPr fontId="3" type="noConversion"/>
  </si>
  <si>
    <t>산모신생아 건강관리 지원사업</t>
    <phoneticPr fontId="3" type="noConversion"/>
  </si>
  <si>
    <t>고위험임산부 의료비 지원</t>
    <phoneticPr fontId="3" type="noConversion"/>
  </si>
  <si>
    <t>청소년산모 임신출산 의료비 지원</t>
    <phoneticPr fontId="3" type="noConversion"/>
  </si>
  <si>
    <t>모자보건사업 운영 지원</t>
    <phoneticPr fontId="3" type="noConversion"/>
  </si>
  <si>
    <t>선천성 난청검사 및 보청기 지원</t>
    <phoneticPr fontId="3" type="noConversion"/>
  </si>
  <si>
    <t>선천성대사이상 검사 및 환아관리</t>
    <phoneticPr fontId="3" type="noConversion"/>
  </si>
  <si>
    <t>미숙아 및 선천성이상아 의료비 지원</t>
    <phoneticPr fontId="3" type="noConversion"/>
  </si>
  <si>
    <t>기저귀 및 조제분유 지원</t>
    <phoneticPr fontId="3" type="noConversion"/>
  </si>
  <si>
    <t>아동(학생) 치과주치의 사업</t>
    <phoneticPr fontId="3" type="noConversion"/>
  </si>
  <si>
    <t>을숙도문화회관</t>
    <phoneticPr fontId="3" type="noConversion"/>
  </si>
  <si>
    <t>다대도서관</t>
    <phoneticPr fontId="3" type="noConversion"/>
  </si>
  <si>
    <t>자료구입</t>
    <phoneticPr fontId="3" type="noConversion"/>
  </si>
  <si>
    <t>도서자료 정리</t>
    <phoneticPr fontId="3" type="noConversion"/>
  </si>
  <si>
    <t>독서진흥 사업추진</t>
    <phoneticPr fontId="3" type="noConversion"/>
  </si>
  <si>
    <t>평생학습 운영</t>
    <phoneticPr fontId="3" type="noConversion"/>
  </si>
  <si>
    <t>시설관리사업소</t>
    <phoneticPr fontId="3" type="noConversion"/>
  </si>
  <si>
    <t>해양스포츠 지원</t>
    <phoneticPr fontId="3" type="noConversion"/>
  </si>
  <si>
    <t>교통행정과</t>
    <phoneticPr fontId="3" type="noConversion"/>
  </si>
  <si>
    <t>보건소(보건행정과)</t>
    <phoneticPr fontId="3" type="noConversion"/>
  </si>
  <si>
    <t>보건소(건강증진과)</t>
    <phoneticPr fontId="3" type="noConversion"/>
  </si>
  <si>
    <t>수혜대상별</t>
    <phoneticPr fontId="3" type="noConversion"/>
  </si>
  <si>
    <t>연령별</t>
    <phoneticPr fontId="3" type="noConversion"/>
  </si>
  <si>
    <t>취약위기가족지원</t>
    <phoneticPr fontId="3" type="noConversion"/>
  </si>
  <si>
    <t>3.발달권</t>
  </si>
  <si>
    <t>2.참여와 시민의식</t>
  </si>
  <si>
    <t>1.직접</t>
  </si>
  <si>
    <t>5.교육환경</t>
  </si>
  <si>
    <t>1.놀이와여가</t>
  </si>
  <si>
    <t>1.생존권</t>
  </si>
  <si>
    <t>4.보건과 사회서비스</t>
  </si>
  <si>
    <t>2.보호권</t>
  </si>
  <si>
    <t>3.안전과 보호</t>
  </si>
  <si>
    <t>2.간접</t>
  </si>
  <si>
    <t>4.참여권</t>
  </si>
  <si>
    <t>6.주거환경</t>
  </si>
  <si>
    <t>일자리복지과</t>
    <phoneticPr fontId="3" type="noConversion"/>
  </si>
  <si>
    <t>지역사회서비스투자사업(지역개발형 바우처)</t>
    <phoneticPr fontId="3" type="noConversion"/>
  </si>
  <si>
    <t>인력운영비(어린이자료실 이용시간 연장지원)</t>
    <phoneticPr fontId="3" type="noConversion"/>
  </si>
  <si>
    <t>의료급여수급권자 영유아 건강검진 지원</t>
    <phoneticPr fontId="3" type="noConversion"/>
  </si>
  <si>
    <t>영유아 발달장애 정밀검사비 지원</t>
    <phoneticPr fontId="3" type="noConversion"/>
  </si>
  <si>
    <t>2023년 아동친화 예산서(일반회계)</t>
    <phoneticPr fontId="3" type="noConversion"/>
  </si>
  <si>
    <t>국제교류 추진(청소년 홈스테이 교류)</t>
    <phoneticPr fontId="3" type="noConversion"/>
  </si>
  <si>
    <t>문화관광홍보과</t>
    <phoneticPr fontId="3" type="noConversion"/>
  </si>
  <si>
    <t>동 평생학습센터 운영</t>
    <phoneticPr fontId="3" type="noConversion"/>
  </si>
  <si>
    <t>여권발급(다자녀, 다문화가정 여권 무료 배송)</t>
    <phoneticPr fontId="3" type="noConversion"/>
  </si>
  <si>
    <t>자전거도로 사고위험지역 안전개선사업</t>
    <phoneticPr fontId="3" type="noConversion"/>
  </si>
  <si>
    <t>노후 슬레이트 처리 지원</t>
    <phoneticPr fontId="3" type="noConversion"/>
  </si>
  <si>
    <t>환경통합관제센터 운영</t>
    <phoneticPr fontId="3" type="noConversion"/>
  </si>
  <si>
    <t>가정용 저녹스보일러 보급</t>
    <phoneticPr fontId="3" type="noConversion"/>
  </si>
  <si>
    <t>공원 및 유원지 관리(어린이놀이시설 )</t>
    <phoneticPr fontId="3" type="noConversion"/>
  </si>
  <si>
    <t>신평초 일원 통학로 환경 개선사업</t>
    <phoneticPr fontId="3" type="noConversion"/>
  </si>
  <si>
    <t>지역아동센터 인건비 지원</t>
    <phoneticPr fontId="3" type="noConversion"/>
  </si>
  <si>
    <t>취약계층 아동통합서비스 지원</t>
    <phoneticPr fontId="3" type="noConversion"/>
  </si>
  <si>
    <t>가정위탁아동 양육물품구입비 지원</t>
    <phoneticPr fontId="3" type="noConversion"/>
  </si>
  <si>
    <t>위기아동가정보호사업</t>
    <phoneticPr fontId="3" type="noConversion"/>
  </si>
  <si>
    <t>전문가정위탁 전문아동보호비 지원</t>
    <phoneticPr fontId="3" type="noConversion"/>
  </si>
  <si>
    <t>입양, 가정위탁 아동 심리치료비 지원</t>
    <phoneticPr fontId="3" type="noConversion"/>
  </si>
  <si>
    <t>입양아동가족 지원사업</t>
    <phoneticPr fontId="3" type="noConversion"/>
  </si>
  <si>
    <t>경계선 지능아동 자립지원</t>
    <phoneticPr fontId="3" type="noConversion"/>
  </si>
  <si>
    <t>아동복지사업 운영</t>
    <phoneticPr fontId="3" type="noConversion"/>
  </si>
  <si>
    <t>아동학대전담 인력 인건비 지원</t>
    <phoneticPr fontId="3" type="noConversion"/>
  </si>
  <si>
    <t>청소년문화의집 운영</t>
    <phoneticPr fontId="3" type="noConversion"/>
  </si>
  <si>
    <t>청소년어울림마당 운영 지원</t>
    <phoneticPr fontId="3" type="noConversion"/>
  </si>
  <si>
    <t>청소년수련시설 운영위원회 운영 지원</t>
    <phoneticPr fontId="3" type="noConversion"/>
  </si>
  <si>
    <t>청소년안전망 청소년통합사례관리사업</t>
    <phoneticPr fontId="3" type="noConversion"/>
  </si>
  <si>
    <t>학교 밖 청소년 지원사업</t>
    <phoneticPr fontId="3" type="noConversion"/>
  </si>
  <si>
    <t>학교 밖 청소년 급식비 지원사업</t>
    <phoneticPr fontId="3" type="noConversion"/>
  </si>
  <si>
    <t>가족센터 운영</t>
    <phoneticPr fontId="3" type="noConversion"/>
  </si>
  <si>
    <t>청소년부모 아동양육비 지원</t>
    <phoneticPr fontId="3" type="noConversion"/>
  </si>
  <si>
    <t>부자가족 주거지원</t>
    <phoneticPr fontId="3" type="noConversion"/>
  </si>
  <si>
    <t>부모급여(영아수당) 지원</t>
    <phoneticPr fontId="3" type="noConversion"/>
  </si>
  <si>
    <t>정부지원어린이집 보육교사 복지수당 지원</t>
    <phoneticPr fontId="3" type="noConversion"/>
  </si>
  <si>
    <t>영영아반(12개월 이하) 운영 지원 사업</t>
    <phoneticPr fontId="3" type="noConversion"/>
  </si>
  <si>
    <t>어린이집 급간식비 지원</t>
    <phoneticPr fontId="3" type="noConversion"/>
  </si>
  <si>
    <t>어린이집 영유아 안전보험 가입 지원</t>
    <phoneticPr fontId="3" type="noConversion"/>
  </si>
  <si>
    <t>북한이탈주민 지역협의회 운영</t>
    <phoneticPr fontId="3" type="noConversion"/>
  </si>
  <si>
    <t>북한이탈주민 지원</t>
    <phoneticPr fontId="3" type="noConversion"/>
  </si>
  <si>
    <t>구민안전보험</t>
    <phoneticPr fontId="3" type="noConversion"/>
  </si>
  <si>
    <t>보안등 관리</t>
    <phoneticPr fontId="3" type="noConversion"/>
  </si>
  <si>
    <t>CCTV 통합관제센터 운영</t>
    <phoneticPr fontId="3" type="noConversion"/>
  </si>
  <si>
    <t>지역사회중심 금연지원서비스</t>
    <phoneticPr fontId="3" type="noConversion"/>
  </si>
  <si>
    <t>문화예술 활동 지원</t>
    <phoneticPr fontId="3" type="noConversion"/>
  </si>
  <si>
    <t>4.중·고등(만13~18세)</t>
  </si>
  <si>
    <t>1.만18세 미만 모든 아동</t>
  </si>
  <si>
    <t>2.저소득가정</t>
  </si>
  <si>
    <t>5.영유아·초등(만0~12세)</t>
  </si>
  <si>
    <t>6.초·중·고(만7~18세)</t>
  </si>
  <si>
    <t>문예회관 문화예술교육프로그램 지원</t>
    <phoneticPr fontId="3" type="noConversion"/>
  </si>
  <si>
    <t>6.취약계층(2개이상중복)</t>
  </si>
  <si>
    <t>3.초등(만7~12세)</t>
  </si>
  <si>
    <t>2.영유아(만0~6세)</t>
  </si>
  <si>
    <t>4.장애아동</t>
  </si>
  <si>
    <t>5.학교밖</t>
  </si>
  <si>
    <t>발달재활 서비스 지원</t>
    <phoneticPr fontId="3" type="noConversion"/>
  </si>
  <si>
    <t>4.보건과 사회서비스</t>
    <phoneticPr fontId="3" type="noConversion"/>
  </si>
  <si>
    <t>1.만18세 미만 모든 아동</t>
    <phoneticPr fontId="3" type="noConversion"/>
  </si>
  <si>
    <t>6.취약계층(2개이상중복)</t>
    <phoneticPr fontId="3" type="noConversion"/>
  </si>
  <si>
    <t>-</t>
    <phoneticPr fontId="3" type="noConversion"/>
  </si>
  <si>
    <t>표준모자보건수첩 제작</t>
    <phoneticPr fontId="3" type="noConversion"/>
  </si>
  <si>
    <t>생활체육교실 운영</t>
    <phoneticPr fontId="3" type="noConversion"/>
  </si>
  <si>
    <t>어린이체능교실 운영</t>
    <phoneticPr fontId="3" type="noConversion"/>
  </si>
  <si>
    <t>청소년체련교실 운영</t>
    <phoneticPr fontId="3" type="noConversion"/>
  </si>
  <si>
    <t>주5일제 생활체육 실천광장</t>
    <phoneticPr fontId="3" type="noConversion"/>
  </si>
  <si>
    <t>3.다문화가정</t>
  </si>
  <si>
    <t>2. 영유아(만0~6세)</t>
  </si>
  <si>
    <t>1. 만18세 미만 모든 아동</t>
  </si>
  <si>
    <t>어린이복합문화공간(회화나무) 운영</t>
    <phoneticPr fontId="3" type="noConversion"/>
  </si>
  <si>
    <t>어린이놀이터 및 아동시설 관리</t>
    <phoneticPr fontId="3" type="noConversion"/>
  </si>
  <si>
    <t>위기아동가정보호사업 전문아동보호비 지원</t>
    <phoneticPr fontId="3" type="noConversion"/>
  </si>
  <si>
    <t>보육교직원 인건비 지원</t>
    <phoneticPr fontId="3" type="noConversion"/>
  </si>
  <si>
    <t>다대도서관 어린이복합문화공간 운영</t>
    <phoneticPr fontId="3" type="noConversion"/>
  </si>
  <si>
    <t>도서관 다문화 서비스</t>
    <phoneticPr fontId="3" type="noConversion"/>
  </si>
  <si>
    <t>어린이보호구역 개선</t>
    <phoneticPr fontId="3" type="noConversion"/>
  </si>
  <si>
    <t>교통사고 잦은 곳(구간) 개선</t>
    <phoneticPr fontId="3" type="noConversion"/>
  </si>
  <si>
    <t>위기아동가정보호사업 아동용품구입비 지원</t>
    <phoneticPr fontId="3" type="noConversion"/>
  </si>
  <si>
    <t>서부산권장애인스포츠센터 운영</t>
    <phoneticPr fontId="3" type="noConversion"/>
  </si>
  <si>
    <t>모두함께 즐기는 우리동네 책놀이터</t>
    <phoneticPr fontId="3" type="noConversion"/>
  </si>
  <si>
    <t>구민 환경교육 및 홍보</t>
    <phoneticPr fontId="3" type="noConversion"/>
  </si>
  <si>
    <t>을숙도문화회관 어린이 복합문화공간 운영</t>
    <phoneticPr fontId="3" type="noConversion"/>
  </si>
  <si>
    <t>건강도시 조성 사업</t>
    <phoneticPr fontId="3" type="noConversion"/>
  </si>
  <si>
    <t>산모신생아 건강관리 지원사업(자체)</t>
    <phoneticPr fontId="3" type="noConversion"/>
  </si>
  <si>
    <t>자살예방 및 정신건강증진사업</t>
    <phoneticPr fontId="3" type="noConversion"/>
  </si>
  <si>
    <t>교통안전사고 예방</t>
    <phoneticPr fontId="3" type="noConversion"/>
  </si>
  <si>
    <t>보행환경개선지구 조성사업</t>
    <phoneticPr fontId="3" type="noConversion"/>
  </si>
  <si>
    <t>청소년유해환경감시단 지원사업</t>
    <phoneticPr fontId="3" type="noConversion"/>
  </si>
  <si>
    <t>청소년통합사례관리사 기관부담금 지원</t>
    <phoneticPr fontId="3" type="noConversion"/>
  </si>
  <si>
    <t>청소년동반자 기관부담금 지원</t>
    <phoneticPr fontId="3" type="noConversion"/>
  </si>
  <si>
    <t>학교 밖 청소년 급식비 추가 지원사업</t>
    <phoneticPr fontId="3" type="noConversion"/>
  </si>
  <si>
    <t>청소년 보호 홍보사업</t>
    <phoneticPr fontId="3" type="noConversion"/>
  </si>
  <si>
    <t>재난 예방사업</t>
    <phoneticPr fontId="3" type="noConversion"/>
  </si>
  <si>
    <t>폭염관리 대책</t>
    <phoneticPr fontId="3" type="noConversion"/>
  </si>
  <si>
    <t>부산어묵축제</t>
    <phoneticPr fontId="3" type="noConversion"/>
  </si>
  <si>
    <t>1.직접</t>
    <phoneticPr fontId="3" type="noConversion"/>
  </si>
  <si>
    <t>[단위 : 천원]</t>
    <phoneticPr fontId="3" type="noConversion"/>
  </si>
  <si>
    <t>사하구예산</t>
    <phoneticPr fontId="3" type="noConversion"/>
  </si>
  <si>
    <t>아동친화예산</t>
    <phoneticPr fontId="3" type="noConversion"/>
  </si>
  <si>
    <t>2023년 예산 [기준 : 1차 추가경정예산 포함)</t>
    <phoneticPr fontId="3" type="noConversion"/>
  </si>
  <si>
    <t>아동4대
권리분야</t>
    <phoneticPr fontId="3" type="noConversion"/>
  </si>
  <si>
    <t>직접/
간접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</si>
</sst>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24"/>
      <name val="HY헤드라인M"/>
      <family val="1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41" fontId="4" fillId="3" borderId="5" xfId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>
      <alignment vertical="center"/>
    </xf>
    <xf numFmtId="41" fontId="6" fillId="0" borderId="5" xfId="1" applyFont="1" applyFill="1" applyBorder="1" applyAlignment="1">
      <alignment horizontal="right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left" vertical="center" wrapText="1"/>
    </xf>
    <xf numFmtId="41" fontId="6" fillId="0" borderId="5" xfId="1" applyFont="1" applyBorder="1" applyAlignment="1">
      <alignment horizontal="right" vertical="center"/>
    </xf>
    <xf numFmtId="49" fontId="4" fillId="3" borderId="5" xfId="0" applyNumberFormat="1" applyFont="1" applyFill="1" applyBorder="1" applyAlignment="1">
      <alignment horizontal="left" vertical="center" wrapText="1"/>
    </xf>
    <xf numFmtId="0" fontId="7" fillId="0" borderId="5" xfId="0" applyFont="1" applyFill="1" applyBorder="1">
      <alignment vertical="center"/>
    </xf>
    <xf numFmtId="0" fontId="6" fillId="3" borderId="5" xfId="0" applyFont="1" applyFill="1" applyBorder="1">
      <alignment vertical="center"/>
    </xf>
    <xf numFmtId="0" fontId="6" fillId="0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6" fillId="0" borderId="3" xfId="0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 vertical="center"/>
    </xf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right" vertical="center"/>
    </xf>
    <xf numFmtId="41" fontId="12" fillId="4" borderId="14" xfId="1" applyFont="1" applyFill="1" applyBorder="1" applyAlignment="1">
      <alignment horizontal="center" vertical="center"/>
    </xf>
    <xf numFmtId="41" fontId="12" fillId="4" borderId="15" xfId="1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horizontal="center" vertical="center"/>
    </xf>
    <xf numFmtId="0" fontId="12" fillId="2" borderId="17" xfId="2" applyFont="1" applyFill="1" applyBorder="1" applyAlignment="1">
      <alignment horizontal="center" vertical="center"/>
    </xf>
    <xf numFmtId="0" fontId="12" fillId="0" borderId="17" xfId="2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/>
    </xf>
    <xf numFmtId="0" fontId="12" fillId="0" borderId="19" xfId="2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21" xfId="2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41" fontId="4" fillId="3" borderId="7" xfId="1" applyFont="1" applyFill="1" applyBorder="1" applyAlignment="1">
      <alignment horizontal="right" vertical="center"/>
    </xf>
    <xf numFmtId="41" fontId="6" fillId="0" borderId="7" xfId="1" applyFont="1" applyFill="1" applyBorder="1" applyAlignment="1">
      <alignment horizontal="right" vertical="center"/>
    </xf>
    <xf numFmtId="41" fontId="6" fillId="0" borderId="7" xfId="1" applyFont="1" applyBorder="1" applyAlignment="1">
      <alignment horizontal="right" vertical="center"/>
    </xf>
    <xf numFmtId="0" fontId="6" fillId="0" borderId="7" xfId="0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6" fillId="0" borderId="23" xfId="0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right" vertical="center"/>
    </xf>
    <xf numFmtId="41" fontId="6" fillId="0" borderId="4" xfId="1" applyFont="1" applyFill="1" applyBorder="1" applyAlignment="1">
      <alignment horizontal="right" vertical="center"/>
    </xf>
    <xf numFmtId="0" fontId="8" fillId="0" borderId="0" xfId="0" applyFont="1" applyFill="1">
      <alignment vertical="center"/>
    </xf>
    <xf numFmtId="41" fontId="4" fillId="0" borderId="7" xfId="1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8" fillId="0" borderId="0" xfId="0" applyFont="1">
      <alignment vertical="center"/>
    </xf>
    <xf numFmtId="49" fontId="6" fillId="0" borderId="5" xfId="0" applyNumberFormat="1" applyFont="1" applyFill="1" applyBorder="1" applyAlignment="1">
      <alignment horizontal="left" vertical="center"/>
    </xf>
    <xf numFmtId="41" fontId="4" fillId="2" borderId="17" xfId="1" applyFont="1" applyFill="1" applyBorder="1" applyAlignment="1">
      <alignment horizontal="center" vertical="center"/>
    </xf>
    <xf numFmtId="41" fontId="4" fillId="2" borderId="18" xfId="1" applyFont="1" applyFill="1" applyBorder="1" applyAlignment="1">
      <alignment horizontal="center" vertical="center"/>
    </xf>
    <xf numFmtId="9" fontId="4" fillId="2" borderId="19" xfId="1" applyNumberFormat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41" fontId="9" fillId="0" borderId="21" xfId="1" applyFont="1" applyFill="1" applyBorder="1" applyAlignment="1">
      <alignment horizontal="right" vertical="center"/>
    </xf>
    <xf numFmtId="41" fontId="9" fillId="0" borderId="22" xfId="1" applyFont="1" applyFill="1" applyBorder="1" applyAlignment="1">
      <alignment horizontal="right" vertical="center"/>
    </xf>
    <xf numFmtId="41" fontId="5" fillId="2" borderId="24" xfId="1" applyFont="1" applyFill="1" applyBorder="1" applyAlignment="1">
      <alignment vertical="center"/>
    </xf>
    <xf numFmtId="9" fontId="4" fillId="2" borderId="25" xfId="1" applyNumberFormat="1" applyFont="1" applyFill="1" applyBorder="1" applyAlignment="1">
      <alignment horizontal="center" vertical="center"/>
    </xf>
    <xf numFmtId="41" fontId="9" fillId="0" borderId="26" xfId="1" applyFont="1" applyFill="1" applyBorder="1" applyAlignment="1">
      <alignment horizontal="right" vertical="center"/>
    </xf>
    <xf numFmtId="0" fontId="12" fillId="0" borderId="24" xfId="2" applyFont="1" applyFill="1" applyBorder="1" applyAlignment="1">
      <alignment horizontal="center" vertical="center"/>
    </xf>
    <xf numFmtId="0" fontId="12" fillId="0" borderId="27" xfId="2" applyFont="1" applyFill="1" applyBorder="1" applyAlignment="1">
      <alignment horizontal="center" vertical="center"/>
    </xf>
    <xf numFmtId="0" fontId="12" fillId="2" borderId="26" xfId="2" applyFont="1" applyFill="1" applyBorder="1" applyAlignment="1">
      <alignment horizontal="center" vertical="center"/>
    </xf>
    <xf numFmtId="0" fontId="12" fillId="2" borderId="21" xfId="2" applyFont="1" applyFill="1" applyBorder="1" applyAlignment="1">
      <alignment vertical="center"/>
    </xf>
    <xf numFmtId="41" fontId="12" fillId="4" borderId="28" xfId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2" fillId="4" borderId="12" xfId="2" applyFont="1" applyFill="1" applyBorder="1" applyAlignment="1">
      <alignment horizontal="center" vertical="center"/>
    </xf>
    <xf numFmtId="0" fontId="12" fillId="4" borderId="9" xfId="2" applyFont="1" applyFill="1" applyBorder="1" applyAlignment="1">
      <alignment horizontal="center" vertical="center"/>
    </xf>
    <xf numFmtId="0" fontId="12" fillId="4" borderId="13" xfId="2" applyFont="1" applyFill="1" applyBorder="1" applyAlignment="1">
      <alignment horizontal="center" vertical="center"/>
    </xf>
    <xf numFmtId="0" fontId="12" fillId="4" borderId="29" xfId="2" applyFont="1" applyFill="1" applyBorder="1" applyAlignment="1">
      <alignment horizontal="center" vertical="center" wrapText="1"/>
    </xf>
    <xf numFmtId="0" fontId="12" fillId="4" borderId="30" xfId="2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9" xfId="2" applyFont="1" applyFill="1" applyBorder="1" applyAlignment="1">
      <alignment horizontal="center" vertical="center" wrapText="1"/>
    </xf>
    <xf numFmtId="0" fontId="12" fillId="4" borderId="10" xfId="2" applyFont="1" applyFill="1" applyBorder="1" applyAlignment="1">
      <alignment horizontal="center" vertical="center"/>
    </xf>
    <xf numFmtId="0" fontId="12" fillId="4" borderId="11" xfId="2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4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9"/>
  <sheetViews>
    <sheetView tabSelected="1" view="pageBreakPreview" zoomScale="80" zoomScaleNormal="80" zoomScaleSheetLayoutView="80" workbookViewId="0">
      <selection activeCell="I6" sqref="I6"/>
    </sheetView>
  </sheetViews>
  <sheetFormatPr defaultRowHeight="16.5"/>
  <cols>
    <col min="1" max="1" width="4.75" bestFit="1" customWidth="1"/>
    <col min="2" max="2" width="13.75" customWidth="1"/>
    <col min="3" max="3" width="43.75" customWidth="1"/>
    <col min="4" max="4" width="8.125" customWidth="1"/>
    <col min="5" max="5" width="14.875" customWidth="1"/>
    <col min="6" max="6" width="17.25" customWidth="1"/>
    <col min="7" max="7" width="18" customWidth="1"/>
    <col min="8" max="8" width="5.5" customWidth="1"/>
    <col min="9" max="9" width="11.5" bestFit="1" customWidth="1"/>
    <col min="10" max="11" width="10.5" bestFit="1" customWidth="1"/>
    <col min="12" max="12" width="14.125" bestFit="1" customWidth="1"/>
  </cols>
  <sheetData>
    <row r="1" spans="1:12">
      <c r="A1" s="66" t="s">
        <v>179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5" customHeight="1" thickBo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5" t="s">
        <v>272</v>
      </c>
    </row>
    <row r="4" spans="1:12" ht="15" customHeight="1">
      <c r="A4" s="67" t="s">
        <v>0</v>
      </c>
      <c r="B4" s="69" t="s">
        <v>1</v>
      </c>
      <c r="C4" s="69" t="s">
        <v>2</v>
      </c>
      <c r="D4" s="71" t="s">
        <v>276</v>
      </c>
      <c r="E4" s="69" t="s">
        <v>3</v>
      </c>
      <c r="F4" s="73" t="s">
        <v>160</v>
      </c>
      <c r="G4" s="73" t="s">
        <v>159</v>
      </c>
      <c r="H4" s="75" t="s">
        <v>277</v>
      </c>
      <c r="I4" s="76" t="s">
        <v>275</v>
      </c>
      <c r="J4" s="76"/>
      <c r="K4" s="76"/>
      <c r="L4" s="77"/>
    </row>
    <row r="5" spans="1:12" ht="15" customHeight="1" thickBot="1">
      <c r="A5" s="68"/>
      <c r="B5" s="70"/>
      <c r="C5" s="70"/>
      <c r="D5" s="72"/>
      <c r="E5" s="70"/>
      <c r="F5" s="74"/>
      <c r="G5" s="74"/>
      <c r="H5" s="70"/>
      <c r="I5" s="65" t="s">
        <v>4</v>
      </c>
      <c r="J5" s="26" t="s">
        <v>5</v>
      </c>
      <c r="K5" s="26" t="s">
        <v>6</v>
      </c>
      <c r="L5" s="27" t="s">
        <v>7</v>
      </c>
    </row>
    <row r="6" spans="1:12" ht="15" customHeight="1" thickTop="1">
      <c r="A6" s="28"/>
      <c r="B6" s="29" t="s">
        <v>273</v>
      </c>
      <c r="C6" s="29"/>
      <c r="D6" s="61"/>
      <c r="E6" s="30"/>
      <c r="F6" s="31"/>
      <c r="G6" s="31"/>
      <c r="H6" s="30"/>
      <c r="I6" s="58">
        <v>772661542</v>
      </c>
      <c r="J6" s="52"/>
      <c r="K6" s="52"/>
      <c r="L6" s="53"/>
    </row>
    <row r="7" spans="1:12" ht="15" customHeight="1">
      <c r="A7" s="32"/>
      <c r="B7" s="33"/>
      <c r="C7" s="33"/>
      <c r="D7" s="62"/>
      <c r="E7" s="34"/>
      <c r="F7" s="35"/>
      <c r="G7" s="35"/>
      <c r="H7" s="34"/>
      <c r="I7" s="59"/>
      <c r="J7" s="54">
        <v>0.49</v>
      </c>
      <c r="K7" s="54">
        <v>0.32</v>
      </c>
      <c r="L7" s="55">
        <v>0.19</v>
      </c>
    </row>
    <row r="8" spans="1:12" ht="15" customHeight="1" thickBot="1">
      <c r="A8" s="36"/>
      <c r="B8" s="37" t="s">
        <v>274</v>
      </c>
      <c r="C8" s="64"/>
      <c r="D8" s="63"/>
      <c r="E8" s="37"/>
      <c r="F8" s="38"/>
      <c r="G8" s="38"/>
      <c r="H8" s="37"/>
      <c r="I8" s="60">
        <f>SUM(J8:L8)</f>
        <v>125902200</v>
      </c>
      <c r="J8" s="56">
        <f>SUM(J9,J11,J23,J25,J31,J34,J44,J52,J97,J99,J130,J186,J188,J195,J197,J200,J203,J222,J225,J233)</f>
        <v>62048158</v>
      </c>
      <c r="K8" s="56">
        <f t="shared" ref="K8:L8" si="0">SUM(K9,K11,K23,K25,K31,K34,K44,K52,K97,K99,K130,K186,K188,K195,K197,K200,K203,K222,K225,K233)</f>
        <v>39739607</v>
      </c>
      <c r="L8" s="57">
        <f t="shared" si="0"/>
        <v>24114435</v>
      </c>
    </row>
    <row r="9" spans="1:12" ht="15" customHeight="1">
      <c r="A9" s="2"/>
      <c r="B9" s="3" t="s">
        <v>8</v>
      </c>
      <c r="C9" s="4"/>
      <c r="D9" s="4"/>
      <c r="E9" s="4"/>
      <c r="F9" s="4"/>
      <c r="G9" s="4"/>
      <c r="H9" s="4"/>
      <c r="I9" s="5">
        <f>SUM(J9:L9)</f>
        <v>49950</v>
      </c>
      <c r="J9" s="5"/>
      <c r="K9" s="5"/>
      <c r="L9" s="39">
        <f>SUM(L10)</f>
        <v>49950</v>
      </c>
    </row>
    <row r="10" spans="1:12" ht="15" customHeight="1">
      <c r="A10" s="6">
        <v>1</v>
      </c>
      <c r="B10" s="7" t="s">
        <v>8</v>
      </c>
      <c r="C10" s="8" t="s">
        <v>180</v>
      </c>
      <c r="D10" s="9" t="s">
        <v>162</v>
      </c>
      <c r="E10" s="9" t="s">
        <v>163</v>
      </c>
      <c r="F10" s="9" t="s">
        <v>221</v>
      </c>
      <c r="G10" s="9" t="s">
        <v>222</v>
      </c>
      <c r="H10" s="9" t="s">
        <v>164</v>
      </c>
      <c r="I10" s="10">
        <f>SUM(J10:L10)</f>
        <v>49950</v>
      </c>
      <c r="J10" s="10">
        <v>0</v>
      </c>
      <c r="K10" s="10">
        <v>0</v>
      </c>
      <c r="L10" s="40">
        <v>49950</v>
      </c>
    </row>
    <row r="11" spans="1:12" ht="15" customHeight="1">
      <c r="A11" s="2"/>
      <c r="B11" s="3" t="s">
        <v>9</v>
      </c>
      <c r="C11" s="4"/>
      <c r="D11" s="4"/>
      <c r="E11" s="4"/>
      <c r="F11" s="4"/>
      <c r="G11" s="4"/>
      <c r="H11" s="4"/>
      <c r="I11" s="5">
        <f>SUM(I12:I22)</f>
        <v>5978464</v>
      </c>
      <c r="J11" s="5">
        <f>SUM(J12:J22)</f>
        <v>0</v>
      </c>
      <c r="K11" s="5">
        <f>SUM(K12:K22)</f>
        <v>343710</v>
      </c>
      <c r="L11" s="39">
        <f>SUM(L12:L22)</f>
        <v>5634754</v>
      </c>
    </row>
    <row r="12" spans="1:12" ht="15" customHeight="1">
      <c r="A12" s="12">
        <v>2</v>
      </c>
      <c r="B12" s="13" t="s">
        <v>9</v>
      </c>
      <c r="C12" s="14" t="s">
        <v>10</v>
      </c>
      <c r="D12" s="9" t="s">
        <v>162</v>
      </c>
      <c r="E12" s="9" t="s">
        <v>165</v>
      </c>
      <c r="F12" s="9" t="s">
        <v>222</v>
      </c>
      <c r="G12" s="9" t="s">
        <v>222</v>
      </c>
      <c r="H12" s="9" t="s">
        <v>164</v>
      </c>
      <c r="I12" s="15">
        <f t="shared" ref="I12:I22" si="1">SUM(J12:L12)</f>
        <v>294975</v>
      </c>
      <c r="J12" s="15">
        <v>0</v>
      </c>
      <c r="K12" s="15">
        <v>0</v>
      </c>
      <c r="L12" s="41">
        <v>294975</v>
      </c>
    </row>
    <row r="13" spans="1:12" s="47" customFormat="1" ht="15" customHeight="1">
      <c r="A13" s="6">
        <v>3</v>
      </c>
      <c r="B13" s="7" t="s">
        <v>9</v>
      </c>
      <c r="C13" s="8" t="s">
        <v>182</v>
      </c>
      <c r="D13" s="9" t="s">
        <v>162</v>
      </c>
      <c r="E13" s="9" t="s">
        <v>165</v>
      </c>
      <c r="F13" s="9" t="s">
        <v>222</v>
      </c>
      <c r="G13" s="9" t="s">
        <v>222</v>
      </c>
      <c r="H13" s="9" t="s">
        <v>164</v>
      </c>
      <c r="I13" s="10">
        <f t="shared" si="1"/>
        <v>55000</v>
      </c>
      <c r="J13" s="10">
        <v>0</v>
      </c>
      <c r="K13" s="10">
        <v>0</v>
      </c>
      <c r="L13" s="48">
        <v>55000</v>
      </c>
    </row>
    <row r="14" spans="1:12" s="47" customFormat="1" ht="15" customHeight="1">
      <c r="A14" s="6">
        <v>4</v>
      </c>
      <c r="B14" s="7" t="s">
        <v>9</v>
      </c>
      <c r="C14" s="8" t="s">
        <v>11</v>
      </c>
      <c r="D14" s="9" t="s">
        <v>162</v>
      </c>
      <c r="E14" s="9" t="s">
        <v>165</v>
      </c>
      <c r="F14" s="9" t="s">
        <v>222</v>
      </c>
      <c r="G14" s="9" t="s">
        <v>222</v>
      </c>
      <c r="H14" s="9" t="s">
        <v>164</v>
      </c>
      <c r="I14" s="10">
        <f t="shared" si="1"/>
        <v>26000</v>
      </c>
      <c r="J14" s="10">
        <v>0</v>
      </c>
      <c r="K14" s="10">
        <v>0</v>
      </c>
      <c r="L14" s="40">
        <v>26000</v>
      </c>
    </row>
    <row r="15" spans="1:12" s="47" customFormat="1" ht="15" customHeight="1">
      <c r="A15" s="6">
        <v>5</v>
      </c>
      <c r="B15" s="7" t="s">
        <v>9</v>
      </c>
      <c r="C15" s="8" t="s">
        <v>12</v>
      </c>
      <c r="D15" s="9" t="s">
        <v>162</v>
      </c>
      <c r="E15" s="9" t="s">
        <v>165</v>
      </c>
      <c r="F15" s="9" t="s">
        <v>225</v>
      </c>
      <c r="G15" s="9" t="s">
        <v>222</v>
      </c>
      <c r="H15" s="9" t="s">
        <v>164</v>
      </c>
      <c r="I15" s="10">
        <f t="shared" si="1"/>
        <v>3756044</v>
      </c>
      <c r="J15" s="10">
        <v>0</v>
      </c>
      <c r="K15" s="10">
        <v>0</v>
      </c>
      <c r="L15" s="40">
        <v>3756044</v>
      </c>
    </row>
    <row r="16" spans="1:12" s="47" customFormat="1" ht="15" customHeight="1">
      <c r="A16" s="6">
        <v>6</v>
      </c>
      <c r="B16" s="7" t="s">
        <v>9</v>
      </c>
      <c r="C16" s="8" t="s">
        <v>13</v>
      </c>
      <c r="D16" s="9" t="s">
        <v>162</v>
      </c>
      <c r="E16" s="9" t="s">
        <v>165</v>
      </c>
      <c r="F16" s="9" t="s">
        <v>225</v>
      </c>
      <c r="G16" s="9" t="s">
        <v>222</v>
      </c>
      <c r="H16" s="9" t="s">
        <v>164</v>
      </c>
      <c r="I16" s="10">
        <f t="shared" si="1"/>
        <v>452824</v>
      </c>
      <c r="J16" s="10">
        <v>0</v>
      </c>
      <c r="K16" s="10">
        <v>95000</v>
      </c>
      <c r="L16" s="40">
        <v>357824</v>
      </c>
    </row>
    <row r="17" spans="1:12" s="47" customFormat="1" ht="15" customHeight="1">
      <c r="A17" s="6">
        <v>7</v>
      </c>
      <c r="B17" s="7" t="s">
        <v>9</v>
      </c>
      <c r="C17" s="8" t="s">
        <v>14</v>
      </c>
      <c r="D17" s="9" t="s">
        <v>162</v>
      </c>
      <c r="E17" s="9" t="s">
        <v>165</v>
      </c>
      <c r="F17" s="9" t="s">
        <v>225</v>
      </c>
      <c r="G17" s="9" t="s">
        <v>222</v>
      </c>
      <c r="H17" s="9" t="s">
        <v>164</v>
      </c>
      <c r="I17" s="10">
        <f t="shared" si="1"/>
        <v>302800</v>
      </c>
      <c r="J17" s="10">
        <v>0</v>
      </c>
      <c r="K17" s="10">
        <v>152800</v>
      </c>
      <c r="L17" s="40">
        <v>150000</v>
      </c>
    </row>
    <row r="18" spans="1:12" s="47" customFormat="1" ht="15" customHeight="1">
      <c r="A18" s="6">
        <v>8</v>
      </c>
      <c r="B18" s="7" t="s">
        <v>9</v>
      </c>
      <c r="C18" s="8" t="s">
        <v>15</v>
      </c>
      <c r="D18" s="9" t="s">
        <v>162</v>
      </c>
      <c r="E18" s="9" t="s">
        <v>165</v>
      </c>
      <c r="F18" s="9" t="s">
        <v>222</v>
      </c>
      <c r="G18" s="9" t="s">
        <v>222</v>
      </c>
      <c r="H18" s="9" t="s">
        <v>164</v>
      </c>
      <c r="I18" s="10">
        <f t="shared" si="1"/>
        <v>550596</v>
      </c>
      <c r="J18" s="10">
        <v>0</v>
      </c>
      <c r="K18" s="10">
        <v>0</v>
      </c>
      <c r="L18" s="40">
        <v>550596</v>
      </c>
    </row>
    <row r="19" spans="1:12" s="47" customFormat="1" ht="15" customHeight="1">
      <c r="A19" s="6">
        <v>9</v>
      </c>
      <c r="B19" s="7" t="s">
        <v>9</v>
      </c>
      <c r="C19" s="8" t="s">
        <v>245</v>
      </c>
      <c r="D19" s="9" t="s">
        <v>162</v>
      </c>
      <c r="E19" s="9" t="s">
        <v>166</v>
      </c>
      <c r="F19" s="9" t="s">
        <v>222</v>
      </c>
      <c r="G19" s="9" t="s">
        <v>222</v>
      </c>
      <c r="H19" s="9" t="s">
        <v>164</v>
      </c>
      <c r="I19" s="10">
        <f t="shared" si="1"/>
        <v>91820</v>
      </c>
      <c r="J19" s="10"/>
      <c r="K19" s="10">
        <v>45910</v>
      </c>
      <c r="L19" s="48">
        <v>45910</v>
      </c>
    </row>
    <row r="20" spans="1:12" s="47" customFormat="1" ht="15" customHeight="1">
      <c r="A20" s="6">
        <v>10</v>
      </c>
      <c r="B20" s="7" t="s">
        <v>9</v>
      </c>
      <c r="C20" s="8" t="s">
        <v>255</v>
      </c>
      <c r="D20" s="9" t="s">
        <v>172</v>
      </c>
      <c r="E20" s="9" t="s">
        <v>166</v>
      </c>
      <c r="F20" s="9" t="s">
        <v>222</v>
      </c>
      <c r="G20" s="9" t="s">
        <v>222</v>
      </c>
      <c r="H20" s="9" t="s">
        <v>164</v>
      </c>
      <c r="I20" s="10">
        <f t="shared" si="1"/>
        <v>50000</v>
      </c>
      <c r="J20" s="10"/>
      <c r="K20" s="10">
        <v>50000</v>
      </c>
      <c r="L20" s="40"/>
    </row>
    <row r="21" spans="1:12" ht="15" customHeight="1">
      <c r="A21" s="12">
        <v>11</v>
      </c>
      <c r="B21" s="13" t="s">
        <v>9</v>
      </c>
      <c r="C21" s="14" t="s">
        <v>16</v>
      </c>
      <c r="D21" s="9" t="s">
        <v>162</v>
      </c>
      <c r="E21" s="9" t="s">
        <v>165</v>
      </c>
      <c r="F21" s="9" t="s">
        <v>222</v>
      </c>
      <c r="G21" s="9" t="s">
        <v>222</v>
      </c>
      <c r="H21" s="9" t="s">
        <v>164</v>
      </c>
      <c r="I21" s="15">
        <f t="shared" si="1"/>
        <v>17405</v>
      </c>
      <c r="J21" s="15">
        <v>0</v>
      </c>
      <c r="K21" s="15">
        <v>0</v>
      </c>
      <c r="L21" s="41">
        <v>17405</v>
      </c>
    </row>
    <row r="22" spans="1:12" ht="15" customHeight="1">
      <c r="A22" s="12">
        <v>12</v>
      </c>
      <c r="B22" s="13" t="s">
        <v>9</v>
      </c>
      <c r="C22" s="14" t="s">
        <v>17</v>
      </c>
      <c r="D22" s="9" t="s">
        <v>162</v>
      </c>
      <c r="E22" s="9" t="s">
        <v>166</v>
      </c>
      <c r="F22" s="9" t="s">
        <v>222</v>
      </c>
      <c r="G22" s="9" t="s">
        <v>222</v>
      </c>
      <c r="H22" s="9" t="s">
        <v>164</v>
      </c>
      <c r="I22" s="15">
        <f t="shared" si="1"/>
        <v>381000</v>
      </c>
      <c r="J22" s="15"/>
      <c r="K22" s="15"/>
      <c r="L22" s="41">
        <v>381000</v>
      </c>
    </row>
    <row r="23" spans="1:12" ht="15" customHeight="1">
      <c r="A23" s="2"/>
      <c r="B23" s="3" t="s">
        <v>22</v>
      </c>
      <c r="C23" s="16"/>
      <c r="D23" s="4"/>
      <c r="E23" s="4"/>
      <c r="F23" s="4"/>
      <c r="G23" s="4"/>
      <c r="H23" s="4"/>
      <c r="I23" s="5">
        <f>SUM(I24)</f>
        <v>296</v>
      </c>
      <c r="J23" s="5">
        <f>SUM(J24:J30)</f>
        <v>0</v>
      </c>
      <c r="K23" s="5"/>
      <c r="L23" s="39">
        <f>SUM(L24)</f>
        <v>296</v>
      </c>
    </row>
    <row r="24" spans="1:12" ht="15" customHeight="1">
      <c r="A24" s="12">
        <v>13</v>
      </c>
      <c r="B24" s="13" t="s">
        <v>22</v>
      </c>
      <c r="C24" s="14" t="s">
        <v>183</v>
      </c>
      <c r="D24" s="9" t="s">
        <v>162</v>
      </c>
      <c r="E24" s="9" t="s">
        <v>168</v>
      </c>
      <c r="F24" s="9" t="s">
        <v>222</v>
      </c>
      <c r="G24" s="9" t="s">
        <v>222</v>
      </c>
      <c r="H24" s="9" t="s">
        <v>164</v>
      </c>
      <c r="I24" s="15">
        <f>SUM(J24:L24)</f>
        <v>296</v>
      </c>
      <c r="J24" s="15">
        <v>0</v>
      </c>
      <c r="K24" s="15">
        <v>0</v>
      </c>
      <c r="L24" s="41">
        <v>296</v>
      </c>
    </row>
    <row r="25" spans="1:12" ht="15" customHeight="1">
      <c r="A25" s="2"/>
      <c r="B25" s="3" t="s">
        <v>181</v>
      </c>
      <c r="C25" s="16"/>
      <c r="D25" s="4"/>
      <c r="E25" s="4"/>
      <c r="F25" s="4"/>
      <c r="G25" s="4"/>
      <c r="H25" s="4"/>
      <c r="I25" s="5">
        <f>SUM(I26:I30)</f>
        <v>146479</v>
      </c>
      <c r="J25" s="5">
        <f>SUM(J26:J30)</f>
        <v>0</v>
      </c>
      <c r="K25" s="5">
        <f>SUM(K26:K30)</f>
        <v>0</v>
      </c>
      <c r="L25" s="39">
        <f>SUM(L26:L30)</f>
        <v>146479</v>
      </c>
    </row>
    <row r="26" spans="1:12" ht="15" customHeight="1">
      <c r="A26" s="6">
        <v>14</v>
      </c>
      <c r="B26" s="7" t="s">
        <v>181</v>
      </c>
      <c r="C26" s="9" t="s">
        <v>20</v>
      </c>
      <c r="D26" s="9" t="s">
        <v>162</v>
      </c>
      <c r="E26" s="9" t="s">
        <v>166</v>
      </c>
      <c r="F26" s="9" t="s">
        <v>224</v>
      </c>
      <c r="G26" s="9" t="s">
        <v>222</v>
      </c>
      <c r="H26" s="9" t="s">
        <v>164</v>
      </c>
      <c r="I26" s="10">
        <f>SUM(J26:L26)</f>
        <v>28635</v>
      </c>
      <c r="J26" s="10">
        <v>0</v>
      </c>
      <c r="K26" s="10">
        <v>0</v>
      </c>
      <c r="L26" s="40">
        <v>28635</v>
      </c>
    </row>
    <row r="27" spans="1:12" ht="15" customHeight="1">
      <c r="A27" s="6">
        <v>15</v>
      </c>
      <c r="B27" s="7" t="s">
        <v>181</v>
      </c>
      <c r="C27" s="14" t="s">
        <v>21</v>
      </c>
      <c r="D27" s="9" t="s">
        <v>172</v>
      </c>
      <c r="E27" s="9" t="s">
        <v>166</v>
      </c>
      <c r="F27" s="9" t="s">
        <v>228</v>
      </c>
      <c r="G27" s="9" t="s">
        <v>222</v>
      </c>
      <c r="H27" s="9" t="s">
        <v>164</v>
      </c>
      <c r="I27" s="15">
        <f>SUM(J27:L27)</f>
        <v>96474</v>
      </c>
      <c r="J27" s="15">
        <v>0</v>
      </c>
      <c r="K27" s="15">
        <v>0</v>
      </c>
      <c r="L27" s="41">
        <v>96474</v>
      </c>
    </row>
    <row r="28" spans="1:12" s="47" customFormat="1" ht="15" customHeight="1">
      <c r="A28" s="6">
        <v>16</v>
      </c>
      <c r="B28" s="7" t="s">
        <v>181</v>
      </c>
      <c r="C28" s="8" t="s">
        <v>220</v>
      </c>
      <c r="D28" s="9" t="s">
        <v>162</v>
      </c>
      <c r="E28" s="9" t="s">
        <v>166</v>
      </c>
      <c r="F28" s="9" t="s">
        <v>224</v>
      </c>
      <c r="G28" s="9" t="s">
        <v>222</v>
      </c>
      <c r="H28" s="9" t="s">
        <v>164</v>
      </c>
      <c r="I28" s="10">
        <f>SUM(J28:L28)</f>
        <v>3000</v>
      </c>
      <c r="J28" s="10">
        <v>0</v>
      </c>
      <c r="K28" s="10">
        <v>0</v>
      </c>
      <c r="L28" s="40">
        <v>3000</v>
      </c>
    </row>
    <row r="29" spans="1:12" s="47" customFormat="1" ht="15" customHeight="1">
      <c r="A29" s="6">
        <v>17</v>
      </c>
      <c r="B29" s="7" t="s">
        <v>181</v>
      </c>
      <c r="C29" s="8" t="s">
        <v>18</v>
      </c>
      <c r="D29" s="9" t="s">
        <v>172</v>
      </c>
      <c r="E29" s="9" t="s">
        <v>166</v>
      </c>
      <c r="F29" s="9" t="s">
        <v>222</v>
      </c>
      <c r="G29" s="9" t="s">
        <v>222</v>
      </c>
      <c r="H29" s="9" t="s">
        <v>164</v>
      </c>
      <c r="I29" s="10">
        <f>SUM(J29:L29)</f>
        <v>15000</v>
      </c>
      <c r="J29" s="10">
        <v>0</v>
      </c>
      <c r="K29" s="10">
        <v>0</v>
      </c>
      <c r="L29" s="40">
        <v>15000</v>
      </c>
    </row>
    <row r="30" spans="1:12" ht="15" customHeight="1">
      <c r="A30" s="6">
        <v>18</v>
      </c>
      <c r="B30" s="7" t="s">
        <v>181</v>
      </c>
      <c r="C30" s="14" t="s">
        <v>19</v>
      </c>
      <c r="D30" s="9" t="s">
        <v>162</v>
      </c>
      <c r="E30" s="9" t="s">
        <v>166</v>
      </c>
      <c r="F30" s="9" t="s">
        <v>228</v>
      </c>
      <c r="G30" s="9" t="s">
        <v>222</v>
      </c>
      <c r="H30" s="9" t="s">
        <v>164</v>
      </c>
      <c r="I30" s="15">
        <f>SUM(J30:L30)</f>
        <v>3370</v>
      </c>
      <c r="J30" s="15">
        <v>0</v>
      </c>
      <c r="K30" s="15">
        <v>0</v>
      </c>
      <c r="L30" s="41">
        <v>3370</v>
      </c>
    </row>
    <row r="31" spans="1:12" ht="15" customHeight="1">
      <c r="A31" s="2"/>
      <c r="B31" s="3" t="s">
        <v>25</v>
      </c>
      <c r="C31" s="4"/>
      <c r="D31" s="4"/>
      <c r="E31" s="4"/>
      <c r="F31" s="4"/>
      <c r="G31" s="4"/>
      <c r="H31" s="4"/>
      <c r="I31" s="5">
        <f>SUM(I32:I33)</f>
        <v>120924</v>
      </c>
      <c r="J31" s="5">
        <f>SUM(J32:J33)</f>
        <v>0</v>
      </c>
      <c r="K31" s="5">
        <f>SUM(K32:K33)</f>
        <v>60462</v>
      </c>
      <c r="L31" s="39">
        <f>SUM(L32:L33)</f>
        <v>60462</v>
      </c>
    </row>
    <row r="32" spans="1:12" ht="15" customHeight="1">
      <c r="A32" s="12">
        <v>19</v>
      </c>
      <c r="B32" s="13" t="s">
        <v>25</v>
      </c>
      <c r="C32" s="8" t="s">
        <v>24</v>
      </c>
      <c r="D32" s="9" t="s">
        <v>162</v>
      </c>
      <c r="E32" s="9" t="s">
        <v>168</v>
      </c>
      <c r="F32" s="9" t="s">
        <v>228</v>
      </c>
      <c r="G32" s="9" t="s">
        <v>222</v>
      </c>
      <c r="H32" s="9" t="s">
        <v>164</v>
      </c>
      <c r="I32" s="10">
        <f>SUM(J32:L32)</f>
        <v>60924</v>
      </c>
      <c r="J32" s="15">
        <v>0</v>
      </c>
      <c r="K32" s="15">
        <v>30462</v>
      </c>
      <c r="L32" s="41">
        <v>30462</v>
      </c>
    </row>
    <row r="33" spans="1:12" ht="15" customHeight="1">
      <c r="A33" s="12">
        <v>20</v>
      </c>
      <c r="B33" s="13" t="s">
        <v>25</v>
      </c>
      <c r="C33" s="8" t="s">
        <v>270</v>
      </c>
      <c r="D33" s="9" t="s">
        <v>172</v>
      </c>
      <c r="E33" s="9" t="s">
        <v>163</v>
      </c>
      <c r="F33" s="9" t="s">
        <v>222</v>
      </c>
      <c r="G33" s="9" t="s">
        <v>222</v>
      </c>
      <c r="H33" s="9" t="s">
        <v>164</v>
      </c>
      <c r="I33" s="10">
        <f>SUM(J33:L33)</f>
        <v>60000</v>
      </c>
      <c r="J33" s="15"/>
      <c r="K33" s="15">
        <v>30000</v>
      </c>
      <c r="L33" s="41">
        <v>30000</v>
      </c>
    </row>
    <row r="34" spans="1:12" ht="15" customHeight="1">
      <c r="A34" s="2"/>
      <c r="B34" s="3" t="s">
        <v>156</v>
      </c>
      <c r="C34" s="4"/>
      <c r="D34" s="4"/>
      <c r="E34" s="4"/>
      <c r="F34" s="4"/>
      <c r="G34" s="4"/>
      <c r="H34" s="4"/>
      <c r="I34" s="5">
        <f>SUM(I35:I43)</f>
        <v>2181500</v>
      </c>
      <c r="J34" s="5">
        <f>SUM(J35:J43)</f>
        <v>0</v>
      </c>
      <c r="K34" s="5">
        <f>SUM(K35:K43)</f>
        <v>741500</v>
      </c>
      <c r="L34" s="39">
        <f>SUM(L35:L43)</f>
        <v>1440000</v>
      </c>
    </row>
    <row r="35" spans="1:12" ht="15" customHeight="1">
      <c r="A35" s="12">
        <v>21</v>
      </c>
      <c r="B35" s="13" t="s">
        <v>156</v>
      </c>
      <c r="C35" s="9" t="s">
        <v>28</v>
      </c>
      <c r="D35" s="9" t="s">
        <v>169</v>
      </c>
      <c r="E35" s="9" t="s">
        <v>170</v>
      </c>
      <c r="F35" s="9" t="s">
        <v>222</v>
      </c>
      <c r="G35" s="9" t="s">
        <v>222</v>
      </c>
      <c r="H35" s="9" t="s">
        <v>171</v>
      </c>
      <c r="I35" s="10">
        <f t="shared" ref="I35:I43" si="2">SUM(J35:L35)</f>
        <v>5000</v>
      </c>
      <c r="J35" s="15">
        <v>0</v>
      </c>
      <c r="K35" s="15">
        <v>0</v>
      </c>
      <c r="L35" s="41">
        <v>5000</v>
      </c>
    </row>
    <row r="36" spans="1:12" ht="15" customHeight="1">
      <c r="A36" s="12">
        <v>22</v>
      </c>
      <c r="B36" s="13" t="s">
        <v>156</v>
      </c>
      <c r="C36" s="8" t="s">
        <v>26</v>
      </c>
      <c r="D36" s="9" t="s">
        <v>169</v>
      </c>
      <c r="E36" s="9" t="s">
        <v>170</v>
      </c>
      <c r="F36" s="9" t="s">
        <v>222</v>
      </c>
      <c r="G36" s="9" t="s">
        <v>222</v>
      </c>
      <c r="H36" s="9" t="s">
        <v>171</v>
      </c>
      <c r="I36" s="10">
        <f t="shared" si="2"/>
        <v>1122500</v>
      </c>
      <c r="J36" s="15">
        <v>0</v>
      </c>
      <c r="K36" s="15">
        <v>0</v>
      </c>
      <c r="L36" s="41">
        <v>1122500</v>
      </c>
    </row>
    <row r="37" spans="1:12" ht="15" customHeight="1">
      <c r="A37" s="12">
        <v>23</v>
      </c>
      <c r="B37" s="13" t="s">
        <v>156</v>
      </c>
      <c r="C37" s="8" t="s">
        <v>27</v>
      </c>
      <c r="D37" s="9" t="s">
        <v>169</v>
      </c>
      <c r="E37" s="9" t="s">
        <v>170</v>
      </c>
      <c r="F37" s="9" t="s">
        <v>222</v>
      </c>
      <c r="G37" s="9" t="s">
        <v>222</v>
      </c>
      <c r="H37" s="9" t="s">
        <v>164</v>
      </c>
      <c r="I37" s="10">
        <f t="shared" si="2"/>
        <v>110000</v>
      </c>
      <c r="J37" s="15">
        <v>0</v>
      </c>
      <c r="K37" s="15">
        <v>0</v>
      </c>
      <c r="L37" s="41">
        <v>110000</v>
      </c>
    </row>
    <row r="38" spans="1:12" ht="15" customHeight="1">
      <c r="A38" s="12">
        <v>24</v>
      </c>
      <c r="B38" s="13" t="s">
        <v>156</v>
      </c>
      <c r="C38" s="8" t="s">
        <v>23</v>
      </c>
      <c r="D38" s="9" t="s">
        <v>162</v>
      </c>
      <c r="E38" s="9" t="s">
        <v>170</v>
      </c>
      <c r="F38" s="9" t="s">
        <v>224</v>
      </c>
      <c r="G38" s="9" t="s">
        <v>222</v>
      </c>
      <c r="H38" s="9" t="s">
        <v>164</v>
      </c>
      <c r="I38" s="10">
        <f t="shared" si="2"/>
        <v>20000</v>
      </c>
      <c r="J38" s="15">
        <v>0</v>
      </c>
      <c r="K38" s="15">
        <v>0</v>
      </c>
      <c r="L38" s="41">
        <v>20000</v>
      </c>
    </row>
    <row r="39" spans="1:12" ht="15" customHeight="1">
      <c r="A39" s="12">
        <v>25</v>
      </c>
      <c r="B39" s="13" t="s">
        <v>156</v>
      </c>
      <c r="C39" s="8" t="s">
        <v>252</v>
      </c>
      <c r="D39" s="9" t="s">
        <v>169</v>
      </c>
      <c r="E39" s="9" t="s">
        <v>170</v>
      </c>
      <c r="F39" s="9" t="s">
        <v>222</v>
      </c>
      <c r="G39" s="9" t="s">
        <v>222</v>
      </c>
      <c r="H39" s="9" t="s">
        <v>164</v>
      </c>
      <c r="I39" s="10">
        <f t="shared" si="2"/>
        <v>417000</v>
      </c>
      <c r="J39" s="15"/>
      <c r="K39" s="15">
        <v>417000</v>
      </c>
      <c r="L39" s="41"/>
    </row>
    <row r="40" spans="1:12" ht="15" customHeight="1">
      <c r="A40" s="12">
        <v>26</v>
      </c>
      <c r="B40" s="13" t="s">
        <v>156</v>
      </c>
      <c r="C40" s="8" t="s">
        <v>251</v>
      </c>
      <c r="D40" s="9" t="s">
        <v>169</v>
      </c>
      <c r="E40" s="9" t="s">
        <v>170</v>
      </c>
      <c r="F40" s="9" t="s">
        <v>222</v>
      </c>
      <c r="G40" s="9" t="s">
        <v>222</v>
      </c>
      <c r="H40" s="9" t="s">
        <v>164</v>
      </c>
      <c r="I40" s="10">
        <f t="shared" si="2"/>
        <v>42000</v>
      </c>
      <c r="J40" s="15"/>
      <c r="K40" s="15">
        <v>42000</v>
      </c>
      <c r="L40" s="41"/>
    </row>
    <row r="41" spans="1:12" s="47" customFormat="1" ht="15" customHeight="1">
      <c r="A41" s="6">
        <v>27</v>
      </c>
      <c r="B41" s="7" t="s">
        <v>156</v>
      </c>
      <c r="C41" s="9" t="s">
        <v>184</v>
      </c>
      <c r="D41" s="9" t="s">
        <v>169</v>
      </c>
      <c r="E41" s="9" t="s">
        <v>170</v>
      </c>
      <c r="F41" s="9" t="s">
        <v>222</v>
      </c>
      <c r="G41" s="9" t="s">
        <v>222</v>
      </c>
      <c r="H41" s="9" t="s">
        <v>164</v>
      </c>
      <c r="I41" s="10">
        <f t="shared" si="2"/>
        <v>225000</v>
      </c>
      <c r="J41" s="23"/>
      <c r="K41" s="23">
        <v>87500</v>
      </c>
      <c r="L41" s="42">
        <v>137500</v>
      </c>
    </row>
    <row r="42" spans="1:12" s="47" customFormat="1" ht="15" customHeight="1">
      <c r="A42" s="6">
        <v>28</v>
      </c>
      <c r="B42" s="7" t="s">
        <v>156</v>
      </c>
      <c r="C42" s="9" t="s">
        <v>261</v>
      </c>
      <c r="D42" s="9" t="s">
        <v>169</v>
      </c>
      <c r="E42" s="9" t="s">
        <v>170</v>
      </c>
      <c r="F42" s="9" t="s">
        <v>222</v>
      </c>
      <c r="G42" s="9" t="s">
        <v>222</v>
      </c>
      <c r="H42" s="9" t="s">
        <v>164</v>
      </c>
      <c r="I42" s="10">
        <f t="shared" si="2"/>
        <v>140000</v>
      </c>
      <c r="J42" s="23"/>
      <c r="K42" s="23">
        <v>120000</v>
      </c>
      <c r="L42" s="49">
        <v>20000</v>
      </c>
    </row>
    <row r="43" spans="1:12" s="47" customFormat="1" ht="15" customHeight="1">
      <c r="A43" s="6">
        <v>29</v>
      </c>
      <c r="B43" s="7" t="s">
        <v>156</v>
      </c>
      <c r="C43" s="9" t="s">
        <v>262</v>
      </c>
      <c r="D43" s="9" t="s">
        <v>169</v>
      </c>
      <c r="E43" s="9" t="s">
        <v>170</v>
      </c>
      <c r="F43" s="9" t="s">
        <v>222</v>
      </c>
      <c r="G43" s="9" t="s">
        <v>222</v>
      </c>
      <c r="H43" s="9" t="s">
        <v>271</v>
      </c>
      <c r="I43" s="10">
        <f t="shared" si="2"/>
        <v>100000</v>
      </c>
      <c r="J43" s="23"/>
      <c r="K43" s="23">
        <v>75000</v>
      </c>
      <c r="L43" s="49">
        <v>25000</v>
      </c>
    </row>
    <row r="44" spans="1:12" ht="15" customHeight="1">
      <c r="A44" s="2"/>
      <c r="B44" s="3" t="s">
        <v>31</v>
      </c>
      <c r="C44" s="4"/>
      <c r="D44" s="4"/>
      <c r="E44" s="4"/>
      <c r="F44" s="4"/>
      <c r="G44" s="4"/>
      <c r="H44" s="4"/>
      <c r="I44" s="5">
        <f>SUM(I45:I51)</f>
        <v>1096990</v>
      </c>
      <c r="J44" s="5">
        <f>SUM(J45:J51)</f>
        <v>540700</v>
      </c>
      <c r="K44" s="5">
        <f>SUM(K45:K51)</f>
        <v>225625</v>
      </c>
      <c r="L44" s="39">
        <f>SUM(L45:L51)</f>
        <v>330665</v>
      </c>
    </row>
    <row r="45" spans="1:12" ht="15" customHeight="1">
      <c r="A45" s="12">
        <v>30</v>
      </c>
      <c r="B45" s="13" t="s">
        <v>31</v>
      </c>
      <c r="C45" s="8" t="s">
        <v>29</v>
      </c>
      <c r="D45" s="9" t="s">
        <v>172</v>
      </c>
      <c r="E45" s="9" t="s">
        <v>163</v>
      </c>
      <c r="F45" s="9" t="s">
        <v>234</v>
      </c>
      <c r="G45" s="9" t="s">
        <v>234</v>
      </c>
      <c r="H45" s="9" t="s">
        <v>164</v>
      </c>
      <c r="I45" s="15">
        <f t="shared" ref="I45:I51" si="3">SUM(J45:L45)</f>
        <v>14000</v>
      </c>
      <c r="J45" s="15">
        <v>0</v>
      </c>
      <c r="K45" s="15">
        <v>0</v>
      </c>
      <c r="L45" s="41">
        <v>14000</v>
      </c>
    </row>
    <row r="46" spans="1:12" s="47" customFormat="1" ht="15" customHeight="1">
      <c r="A46" s="6">
        <v>31</v>
      </c>
      <c r="B46" s="7" t="s">
        <v>31</v>
      </c>
      <c r="C46" s="8" t="s">
        <v>256</v>
      </c>
      <c r="D46" s="9" t="s">
        <v>162</v>
      </c>
      <c r="E46" s="9" t="s">
        <v>165</v>
      </c>
      <c r="F46" s="9" t="s">
        <v>222</v>
      </c>
      <c r="G46" s="9" t="s">
        <v>222</v>
      </c>
      <c r="H46" s="9" t="s">
        <v>164</v>
      </c>
      <c r="I46" s="10">
        <f t="shared" si="3"/>
        <v>94859</v>
      </c>
      <c r="J46" s="10"/>
      <c r="K46" s="10"/>
      <c r="L46" s="40">
        <v>94859</v>
      </c>
    </row>
    <row r="47" spans="1:12" s="47" customFormat="1" ht="15" customHeight="1">
      <c r="A47" s="6">
        <v>32</v>
      </c>
      <c r="B47" s="7" t="s">
        <v>31</v>
      </c>
      <c r="C47" s="8" t="s">
        <v>185</v>
      </c>
      <c r="D47" s="9" t="s">
        <v>167</v>
      </c>
      <c r="E47" s="9" t="s">
        <v>173</v>
      </c>
      <c r="F47" s="9" t="s">
        <v>234</v>
      </c>
      <c r="G47" s="9" t="s">
        <v>234</v>
      </c>
      <c r="H47" s="9" t="s">
        <v>164</v>
      </c>
      <c r="I47" s="10">
        <f t="shared" si="3"/>
        <v>271340</v>
      </c>
      <c r="J47" s="10">
        <v>135670</v>
      </c>
      <c r="K47" s="10">
        <v>67835</v>
      </c>
      <c r="L47" s="40">
        <v>67835</v>
      </c>
    </row>
    <row r="48" spans="1:12" s="47" customFormat="1" ht="15" customHeight="1">
      <c r="A48" s="6">
        <v>33</v>
      </c>
      <c r="B48" s="7" t="s">
        <v>31</v>
      </c>
      <c r="C48" s="8" t="s">
        <v>186</v>
      </c>
      <c r="D48" s="9" t="s">
        <v>167</v>
      </c>
      <c r="E48" s="9" t="s">
        <v>170</v>
      </c>
      <c r="F48" s="9" t="s">
        <v>234</v>
      </c>
      <c r="G48" s="9" t="s">
        <v>234</v>
      </c>
      <c r="H48" s="9" t="s">
        <v>164</v>
      </c>
      <c r="I48" s="10">
        <f t="shared" si="3"/>
        <v>38591</v>
      </c>
      <c r="J48" s="10">
        <v>0</v>
      </c>
      <c r="K48" s="10">
        <v>18480</v>
      </c>
      <c r="L48" s="40">
        <v>20111</v>
      </c>
    </row>
    <row r="49" spans="1:12" s="47" customFormat="1" ht="15" customHeight="1">
      <c r="A49" s="6">
        <v>34</v>
      </c>
      <c r="B49" s="7" t="s">
        <v>31</v>
      </c>
      <c r="C49" s="8" t="s">
        <v>187</v>
      </c>
      <c r="D49" s="9" t="s">
        <v>167</v>
      </c>
      <c r="E49" s="9" t="s">
        <v>173</v>
      </c>
      <c r="F49" s="9" t="s">
        <v>234</v>
      </c>
      <c r="G49" s="9" t="s">
        <v>234</v>
      </c>
      <c r="H49" s="9" t="s">
        <v>164</v>
      </c>
      <c r="I49" s="10">
        <f t="shared" si="3"/>
        <v>664300</v>
      </c>
      <c r="J49" s="10">
        <v>398580</v>
      </c>
      <c r="K49" s="10">
        <v>132860</v>
      </c>
      <c r="L49" s="40">
        <v>132860</v>
      </c>
    </row>
    <row r="50" spans="1:12" s="47" customFormat="1" ht="15" customHeight="1">
      <c r="A50" s="6">
        <v>35</v>
      </c>
      <c r="B50" s="7" t="s">
        <v>31</v>
      </c>
      <c r="C50" s="8" t="s">
        <v>30</v>
      </c>
      <c r="D50" s="9" t="s">
        <v>169</v>
      </c>
      <c r="E50" s="9" t="s">
        <v>170</v>
      </c>
      <c r="F50" s="9" t="s">
        <v>234</v>
      </c>
      <c r="G50" s="9" t="s">
        <v>234</v>
      </c>
      <c r="H50" s="9" t="s">
        <v>164</v>
      </c>
      <c r="I50" s="10">
        <f t="shared" si="3"/>
        <v>12900</v>
      </c>
      <c r="J50" s="10">
        <v>6450</v>
      </c>
      <c r="K50" s="10">
        <v>6450</v>
      </c>
      <c r="L50" s="40">
        <v>0</v>
      </c>
    </row>
    <row r="51" spans="1:12" ht="15" customHeight="1">
      <c r="A51" s="12">
        <v>36</v>
      </c>
      <c r="B51" s="7" t="s">
        <v>31</v>
      </c>
      <c r="C51" s="8" t="s">
        <v>32</v>
      </c>
      <c r="D51" s="9" t="s">
        <v>169</v>
      </c>
      <c r="E51" s="9" t="s">
        <v>170</v>
      </c>
      <c r="F51" s="9" t="s">
        <v>234</v>
      </c>
      <c r="G51" s="9" t="s">
        <v>234</v>
      </c>
      <c r="H51" s="9" t="s">
        <v>164</v>
      </c>
      <c r="I51" s="10">
        <f t="shared" si="3"/>
        <v>1000</v>
      </c>
      <c r="J51" s="10">
        <v>0</v>
      </c>
      <c r="K51" s="10">
        <v>0</v>
      </c>
      <c r="L51" s="40">
        <v>1000</v>
      </c>
    </row>
    <row r="52" spans="1:12" ht="15" customHeight="1">
      <c r="A52" s="2"/>
      <c r="B52" s="3" t="s">
        <v>33</v>
      </c>
      <c r="C52" s="4"/>
      <c r="D52" s="4"/>
      <c r="E52" s="4"/>
      <c r="F52" s="4"/>
      <c r="G52" s="4"/>
      <c r="H52" s="4"/>
      <c r="I52" s="5">
        <f>SUM(I53:I96)</f>
        <v>24025863</v>
      </c>
      <c r="J52" s="5">
        <f>SUM(J53:J96)</f>
        <v>13979652</v>
      </c>
      <c r="K52" s="5">
        <f>SUM(K53:K96)</f>
        <v>7171611</v>
      </c>
      <c r="L52" s="39">
        <f>SUM(L53:L96)</f>
        <v>2874600</v>
      </c>
    </row>
    <row r="53" spans="1:12" s="1" customFormat="1" ht="15" customHeight="1">
      <c r="A53" s="12">
        <v>37</v>
      </c>
      <c r="B53" s="13" t="s">
        <v>33</v>
      </c>
      <c r="C53" s="9" t="s">
        <v>34</v>
      </c>
      <c r="D53" s="9" t="s">
        <v>162</v>
      </c>
      <c r="E53" s="9" t="s">
        <v>165</v>
      </c>
      <c r="F53" s="9" t="s">
        <v>225</v>
      </c>
      <c r="G53" s="9" t="s">
        <v>223</v>
      </c>
      <c r="H53" s="9" t="s">
        <v>164</v>
      </c>
      <c r="I53" s="15">
        <f t="shared" ref="I53:I96" si="4">SUM(J53:L53)</f>
        <v>3940</v>
      </c>
      <c r="J53" s="15">
        <v>0</v>
      </c>
      <c r="K53" s="15">
        <v>3940</v>
      </c>
      <c r="L53" s="41">
        <v>0</v>
      </c>
    </row>
    <row r="54" spans="1:12" s="1" customFormat="1" ht="15" customHeight="1">
      <c r="A54" s="12">
        <v>38</v>
      </c>
      <c r="B54" s="13" t="s">
        <v>33</v>
      </c>
      <c r="C54" s="9" t="s">
        <v>35</v>
      </c>
      <c r="D54" s="9" t="s">
        <v>169</v>
      </c>
      <c r="E54" s="9" t="s">
        <v>165</v>
      </c>
      <c r="F54" s="9" t="s">
        <v>225</v>
      </c>
      <c r="G54" s="9" t="s">
        <v>222</v>
      </c>
      <c r="H54" s="9" t="s">
        <v>171</v>
      </c>
      <c r="I54" s="15">
        <f t="shared" si="4"/>
        <v>270456</v>
      </c>
      <c r="J54" s="15">
        <v>129318</v>
      </c>
      <c r="K54" s="15">
        <v>64659</v>
      </c>
      <c r="L54" s="41">
        <v>76479</v>
      </c>
    </row>
    <row r="55" spans="1:12" s="1" customFormat="1" ht="15" customHeight="1">
      <c r="A55" s="12">
        <v>39</v>
      </c>
      <c r="B55" s="13" t="s">
        <v>33</v>
      </c>
      <c r="C55" s="9" t="s">
        <v>36</v>
      </c>
      <c r="D55" s="9" t="s">
        <v>169</v>
      </c>
      <c r="E55" s="9" t="s">
        <v>168</v>
      </c>
      <c r="F55" s="9" t="s">
        <v>225</v>
      </c>
      <c r="G55" s="9" t="s">
        <v>222</v>
      </c>
      <c r="H55" s="9" t="s">
        <v>171</v>
      </c>
      <c r="I55" s="15">
        <f t="shared" si="4"/>
        <v>300696</v>
      </c>
      <c r="J55" s="15">
        <v>150348</v>
      </c>
      <c r="K55" s="15">
        <v>75174</v>
      </c>
      <c r="L55" s="41">
        <v>75174</v>
      </c>
    </row>
    <row r="56" spans="1:12" s="1" customFormat="1" ht="15" customHeight="1">
      <c r="A56" s="12">
        <v>40</v>
      </c>
      <c r="B56" s="13" t="s">
        <v>33</v>
      </c>
      <c r="C56" s="9" t="s">
        <v>190</v>
      </c>
      <c r="D56" s="9" t="s">
        <v>169</v>
      </c>
      <c r="E56" s="9" t="s">
        <v>168</v>
      </c>
      <c r="F56" s="9" t="s">
        <v>225</v>
      </c>
      <c r="G56" s="9" t="s">
        <v>222</v>
      </c>
      <c r="H56" s="9" t="s">
        <v>171</v>
      </c>
      <c r="I56" s="15">
        <f t="shared" si="4"/>
        <v>1264824</v>
      </c>
      <c r="J56" s="15">
        <v>632412</v>
      </c>
      <c r="K56" s="15">
        <v>316206</v>
      </c>
      <c r="L56" s="41">
        <v>316206</v>
      </c>
    </row>
    <row r="57" spans="1:12" s="1" customFormat="1" ht="15" customHeight="1">
      <c r="A57" s="12">
        <v>41</v>
      </c>
      <c r="B57" s="13" t="s">
        <v>33</v>
      </c>
      <c r="C57" s="9" t="s">
        <v>37</v>
      </c>
      <c r="D57" s="9" t="s">
        <v>169</v>
      </c>
      <c r="E57" s="9" t="s">
        <v>168</v>
      </c>
      <c r="F57" s="9" t="s">
        <v>225</v>
      </c>
      <c r="G57" s="9" t="s">
        <v>222</v>
      </c>
      <c r="H57" s="9" t="s">
        <v>164</v>
      </c>
      <c r="I57" s="15">
        <f t="shared" si="4"/>
        <v>61016</v>
      </c>
      <c r="J57" s="15">
        <v>30508</v>
      </c>
      <c r="K57" s="15">
        <v>15254</v>
      </c>
      <c r="L57" s="41">
        <v>15254</v>
      </c>
    </row>
    <row r="58" spans="1:12" s="1" customFormat="1" ht="15" customHeight="1">
      <c r="A58" s="12">
        <v>42</v>
      </c>
      <c r="B58" s="13" t="s">
        <v>33</v>
      </c>
      <c r="C58" s="9" t="s">
        <v>38</v>
      </c>
      <c r="D58" s="9" t="s">
        <v>169</v>
      </c>
      <c r="E58" s="9" t="s">
        <v>168</v>
      </c>
      <c r="F58" s="9" t="s">
        <v>225</v>
      </c>
      <c r="G58" s="9" t="s">
        <v>222</v>
      </c>
      <c r="H58" s="9" t="s">
        <v>164</v>
      </c>
      <c r="I58" s="15">
        <f t="shared" si="4"/>
        <v>14520</v>
      </c>
      <c r="J58" s="15">
        <v>7260</v>
      </c>
      <c r="K58" s="15">
        <v>3630</v>
      </c>
      <c r="L58" s="41">
        <v>3630</v>
      </c>
    </row>
    <row r="59" spans="1:12" s="1" customFormat="1" ht="15" customHeight="1">
      <c r="A59" s="12">
        <v>43</v>
      </c>
      <c r="B59" s="13" t="s">
        <v>33</v>
      </c>
      <c r="C59" s="9" t="s">
        <v>39</v>
      </c>
      <c r="D59" s="9" t="s">
        <v>169</v>
      </c>
      <c r="E59" s="9" t="s">
        <v>168</v>
      </c>
      <c r="F59" s="9" t="s">
        <v>225</v>
      </c>
      <c r="G59" s="9" t="s">
        <v>222</v>
      </c>
      <c r="H59" s="9" t="s">
        <v>164</v>
      </c>
      <c r="I59" s="15">
        <f t="shared" si="4"/>
        <v>15600</v>
      </c>
      <c r="J59" s="15">
        <v>0</v>
      </c>
      <c r="K59" s="15">
        <v>7800</v>
      </c>
      <c r="L59" s="41">
        <v>7800</v>
      </c>
    </row>
    <row r="60" spans="1:12" s="1" customFormat="1" ht="15" customHeight="1">
      <c r="A60" s="12">
        <v>44</v>
      </c>
      <c r="B60" s="13" t="s">
        <v>33</v>
      </c>
      <c r="C60" s="9" t="s">
        <v>40</v>
      </c>
      <c r="D60" s="9" t="s">
        <v>169</v>
      </c>
      <c r="E60" s="9" t="s">
        <v>168</v>
      </c>
      <c r="F60" s="9" t="s">
        <v>225</v>
      </c>
      <c r="G60" s="9" t="s">
        <v>222</v>
      </c>
      <c r="H60" s="9" t="s">
        <v>171</v>
      </c>
      <c r="I60" s="15">
        <f t="shared" si="4"/>
        <v>337486</v>
      </c>
      <c r="J60" s="15">
        <v>0</v>
      </c>
      <c r="K60" s="15">
        <v>159243</v>
      </c>
      <c r="L60" s="41">
        <v>178243</v>
      </c>
    </row>
    <row r="61" spans="1:12" s="1" customFormat="1" ht="15" customHeight="1">
      <c r="A61" s="12">
        <v>45</v>
      </c>
      <c r="B61" s="13" t="s">
        <v>33</v>
      </c>
      <c r="C61" s="9" t="s">
        <v>41</v>
      </c>
      <c r="D61" s="9" t="s">
        <v>169</v>
      </c>
      <c r="E61" s="9" t="s">
        <v>168</v>
      </c>
      <c r="F61" s="9" t="s">
        <v>225</v>
      </c>
      <c r="G61" s="9" t="s">
        <v>222</v>
      </c>
      <c r="H61" s="9" t="s">
        <v>164</v>
      </c>
      <c r="I61" s="15">
        <f t="shared" si="4"/>
        <v>40800</v>
      </c>
      <c r="J61" s="15">
        <v>0</v>
      </c>
      <c r="K61" s="15">
        <v>20400</v>
      </c>
      <c r="L61" s="41">
        <v>20400</v>
      </c>
    </row>
    <row r="62" spans="1:12" s="1" customFormat="1" ht="15" customHeight="1">
      <c r="A62" s="12">
        <v>46</v>
      </c>
      <c r="B62" s="13" t="s">
        <v>33</v>
      </c>
      <c r="C62" s="9" t="s">
        <v>42</v>
      </c>
      <c r="D62" s="9" t="s">
        <v>169</v>
      </c>
      <c r="E62" s="9" t="s">
        <v>168</v>
      </c>
      <c r="F62" s="9" t="s">
        <v>225</v>
      </c>
      <c r="G62" s="9" t="s">
        <v>222</v>
      </c>
      <c r="H62" s="9" t="s">
        <v>164</v>
      </c>
      <c r="I62" s="15">
        <f t="shared" si="4"/>
        <v>30000</v>
      </c>
      <c r="J62" s="15">
        <v>15000</v>
      </c>
      <c r="K62" s="15">
        <v>7500</v>
      </c>
      <c r="L62" s="41">
        <v>7500</v>
      </c>
    </row>
    <row r="63" spans="1:12" s="1" customFormat="1" ht="15" customHeight="1">
      <c r="A63" s="12">
        <v>47</v>
      </c>
      <c r="B63" s="13" t="s">
        <v>33</v>
      </c>
      <c r="C63" s="9" t="s">
        <v>43</v>
      </c>
      <c r="D63" s="9" t="s">
        <v>169</v>
      </c>
      <c r="E63" s="9" t="s">
        <v>168</v>
      </c>
      <c r="F63" s="9" t="s">
        <v>225</v>
      </c>
      <c r="G63" s="9" t="s">
        <v>222</v>
      </c>
      <c r="H63" s="9" t="s">
        <v>164</v>
      </c>
      <c r="I63" s="15">
        <f t="shared" si="4"/>
        <v>5865</v>
      </c>
      <c r="J63" s="15">
        <v>0</v>
      </c>
      <c r="K63" s="15">
        <v>2932</v>
      </c>
      <c r="L63" s="41">
        <v>2933</v>
      </c>
    </row>
    <row r="64" spans="1:12" s="1" customFormat="1" ht="15" customHeight="1">
      <c r="A64" s="12">
        <v>48</v>
      </c>
      <c r="B64" s="13" t="s">
        <v>33</v>
      </c>
      <c r="C64" s="9" t="s">
        <v>44</v>
      </c>
      <c r="D64" s="9" t="s">
        <v>169</v>
      </c>
      <c r="E64" s="9" t="s">
        <v>168</v>
      </c>
      <c r="F64" s="9" t="s">
        <v>228</v>
      </c>
      <c r="G64" s="9" t="s">
        <v>222</v>
      </c>
      <c r="H64" s="9" t="s">
        <v>164</v>
      </c>
      <c r="I64" s="15">
        <f t="shared" si="4"/>
        <v>111600</v>
      </c>
      <c r="J64" s="15">
        <v>37800</v>
      </c>
      <c r="K64" s="15">
        <v>18900</v>
      </c>
      <c r="L64" s="41">
        <v>54900</v>
      </c>
    </row>
    <row r="65" spans="1:12" s="1" customFormat="1" ht="15" customHeight="1">
      <c r="A65" s="12">
        <v>49</v>
      </c>
      <c r="B65" s="13" t="s">
        <v>33</v>
      </c>
      <c r="C65" s="9" t="s">
        <v>45</v>
      </c>
      <c r="D65" s="9" t="s">
        <v>169</v>
      </c>
      <c r="E65" s="9" t="s">
        <v>168</v>
      </c>
      <c r="F65" s="9" t="s">
        <v>228</v>
      </c>
      <c r="G65" s="9" t="s">
        <v>222</v>
      </c>
      <c r="H65" s="9" t="s">
        <v>171</v>
      </c>
      <c r="I65" s="15">
        <f t="shared" si="4"/>
        <v>428904</v>
      </c>
      <c r="J65" s="15">
        <v>214452</v>
      </c>
      <c r="K65" s="15">
        <v>107226</v>
      </c>
      <c r="L65" s="41">
        <v>107226</v>
      </c>
    </row>
    <row r="66" spans="1:12" s="1" customFormat="1" ht="15" customHeight="1">
      <c r="A66" s="12">
        <v>50</v>
      </c>
      <c r="B66" s="13" t="s">
        <v>33</v>
      </c>
      <c r="C66" s="9" t="s">
        <v>246</v>
      </c>
      <c r="D66" s="9" t="s">
        <v>169</v>
      </c>
      <c r="E66" s="9" t="s">
        <v>170</v>
      </c>
      <c r="F66" s="9" t="s">
        <v>234</v>
      </c>
      <c r="G66" s="9" t="s">
        <v>234</v>
      </c>
      <c r="H66" s="9" t="s">
        <v>164</v>
      </c>
      <c r="I66" s="15">
        <f t="shared" si="4"/>
        <v>1500</v>
      </c>
      <c r="J66" s="15"/>
      <c r="K66" s="15"/>
      <c r="L66" s="41">
        <v>1500</v>
      </c>
    </row>
    <row r="67" spans="1:12" s="1" customFormat="1" ht="15" customHeight="1">
      <c r="A67" s="12">
        <v>51</v>
      </c>
      <c r="B67" s="13" t="s">
        <v>33</v>
      </c>
      <c r="C67" s="9" t="s">
        <v>46</v>
      </c>
      <c r="D67" s="9" t="s">
        <v>172</v>
      </c>
      <c r="E67" s="9" t="s">
        <v>163</v>
      </c>
      <c r="F67" s="9" t="s">
        <v>222</v>
      </c>
      <c r="G67" s="9" t="s">
        <v>222</v>
      </c>
      <c r="H67" s="9" t="s">
        <v>164</v>
      </c>
      <c r="I67" s="15">
        <f t="shared" si="4"/>
        <v>41300</v>
      </c>
      <c r="J67" s="15">
        <v>0</v>
      </c>
      <c r="K67" s="15">
        <v>0</v>
      </c>
      <c r="L67" s="41">
        <v>41300</v>
      </c>
    </row>
    <row r="68" spans="1:12" s="1" customFormat="1" ht="15" customHeight="1">
      <c r="A68" s="12">
        <v>52</v>
      </c>
      <c r="B68" s="13" t="s">
        <v>33</v>
      </c>
      <c r="C68" s="9" t="s">
        <v>191</v>
      </c>
      <c r="D68" s="9" t="s">
        <v>169</v>
      </c>
      <c r="E68" s="9" t="s">
        <v>168</v>
      </c>
      <c r="F68" s="9" t="s">
        <v>224</v>
      </c>
      <c r="G68" s="9" t="s">
        <v>227</v>
      </c>
      <c r="H68" s="9" t="s">
        <v>164</v>
      </c>
      <c r="I68" s="15">
        <f t="shared" si="4"/>
        <v>193462</v>
      </c>
      <c r="J68" s="15">
        <v>149280</v>
      </c>
      <c r="K68" s="15">
        <v>11196</v>
      </c>
      <c r="L68" s="41">
        <v>32986</v>
      </c>
    </row>
    <row r="69" spans="1:12" s="1" customFormat="1" ht="15" customHeight="1">
      <c r="A69" s="12">
        <v>53</v>
      </c>
      <c r="B69" s="13" t="s">
        <v>33</v>
      </c>
      <c r="C69" s="8" t="s">
        <v>47</v>
      </c>
      <c r="D69" s="9" t="s">
        <v>167</v>
      </c>
      <c r="E69" s="9" t="s">
        <v>168</v>
      </c>
      <c r="F69" s="9" t="s">
        <v>222</v>
      </c>
      <c r="G69" s="9" t="s">
        <v>223</v>
      </c>
      <c r="H69" s="9" t="s">
        <v>164</v>
      </c>
      <c r="I69" s="15">
        <f t="shared" si="4"/>
        <v>1959938</v>
      </c>
      <c r="J69" s="15">
        <v>0</v>
      </c>
      <c r="K69" s="15">
        <v>1175963</v>
      </c>
      <c r="L69" s="41">
        <v>783975</v>
      </c>
    </row>
    <row r="70" spans="1:12" s="1" customFormat="1" ht="15" customHeight="1">
      <c r="A70" s="12">
        <v>54</v>
      </c>
      <c r="B70" s="13" t="s">
        <v>33</v>
      </c>
      <c r="C70" s="8" t="s">
        <v>48</v>
      </c>
      <c r="D70" s="9" t="s">
        <v>167</v>
      </c>
      <c r="E70" s="9" t="s">
        <v>168</v>
      </c>
      <c r="F70" s="9" t="s">
        <v>222</v>
      </c>
      <c r="G70" s="9" t="s">
        <v>223</v>
      </c>
      <c r="H70" s="9" t="s">
        <v>164</v>
      </c>
      <c r="I70" s="15">
        <f t="shared" si="4"/>
        <v>423270</v>
      </c>
      <c r="J70" s="15">
        <v>0</v>
      </c>
      <c r="K70" s="15">
        <v>423270</v>
      </c>
      <c r="L70" s="41">
        <v>0</v>
      </c>
    </row>
    <row r="71" spans="1:12" s="1" customFormat="1" ht="15" customHeight="1">
      <c r="A71" s="12">
        <v>55</v>
      </c>
      <c r="B71" s="13" t="s">
        <v>33</v>
      </c>
      <c r="C71" s="9" t="s">
        <v>49</v>
      </c>
      <c r="D71" s="9" t="s">
        <v>167</v>
      </c>
      <c r="E71" s="9" t="s">
        <v>173</v>
      </c>
      <c r="F71" s="9" t="s">
        <v>229</v>
      </c>
      <c r="G71" s="9" t="s">
        <v>227</v>
      </c>
      <c r="H71" s="9" t="s">
        <v>164</v>
      </c>
      <c r="I71" s="15">
        <f t="shared" si="4"/>
        <v>14341365</v>
      </c>
      <c r="J71" s="15">
        <v>11473090</v>
      </c>
      <c r="K71" s="15">
        <v>2007790</v>
      </c>
      <c r="L71" s="41">
        <v>860485</v>
      </c>
    </row>
    <row r="72" spans="1:12" s="1" customFormat="1" ht="15" customHeight="1">
      <c r="A72" s="12">
        <v>56</v>
      </c>
      <c r="B72" s="13" t="s">
        <v>33</v>
      </c>
      <c r="C72" s="9" t="s">
        <v>50</v>
      </c>
      <c r="D72" s="9" t="s">
        <v>167</v>
      </c>
      <c r="E72" s="9" t="s">
        <v>170</v>
      </c>
      <c r="F72" s="9" t="s">
        <v>222</v>
      </c>
      <c r="G72" s="9" t="s">
        <v>222</v>
      </c>
      <c r="H72" s="9" t="s">
        <v>164</v>
      </c>
      <c r="I72" s="15">
        <f t="shared" si="4"/>
        <v>190000</v>
      </c>
      <c r="J72" s="15">
        <v>171000</v>
      </c>
      <c r="K72" s="15">
        <v>19000</v>
      </c>
      <c r="L72" s="41">
        <v>0</v>
      </c>
    </row>
    <row r="73" spans="1:12" s="1" customFormat="1" ht="15" customHeight="1">
      <c r="A73" s="12">
        <v>57</v>
      </c>
      <c r="B73" s="13" t="s">
        <v>33</v>
      </c>
      <c r="C73" s="9" t="s">
        <v>51</v>
      </c>
      <c r="D73" s="9" t="s">
        <v>167</v>
      </c>
      <c r="E73" s="9" t="s">
        <v>170</v>
      </c>
      <c r="F73" s="9" t="s">
        <v>222</v>
      </c>
      <c r="G73" s="9" t="s">
        <v>222</v>
      </c>
      <c r="H73" s="9" t="s">
        <v>171</v>
      </c>
      <c r="I73" s="15">
        <f t="shared" si="4"/>
        <v>1973681</v>
      </c>
      <c r="J73" s="15">
        <v>0</v>
      </c>
      <c r="K73" s="15">
        <v>1973681</v>
      </c>
      <c r="L73" s="41">
        <v>0</v>
      </c>
    </row>
    <row r="74" spans="1:12" s="1" customFormat="1" ht="15" customHeight="1">
      <c r="A74" s="12">
        <v>58</v>
      </c>
      <c r="B74" s="13" t="s">
        <v>33</v>
      </c>
      <c r="C74" s="9" t="s">
        <v>52</v>
      </c>
      <c r="D74" s="9" t="s">
        <v>167</v>
      </c>
      <c r="E74" s="9" t="s">
        <v>170</v>
      </c>
      <c r="F74" s="9" t="s">
        <v>222</v>
      </c>
      <c r="G74" s="9" t="s">
        <v>222</v>
      </c>
      <c r="H74" s="9" t="s">
        <v>164</v>
      </c>
      <c r="I74" s="15">
        <f t="shared" si="4"/>
        <v>35294</v>
      </c>
      <c r="J74" s="15">
        <v>0</v>
      </c>
      <c r="K74" s="15">
        <v>35294</v>
      </c>
      <c r="L74" s="41">
        <v>0</v>
      </c>
    </row>
    <row r="75" spans="1:12" s="1" customFormat="1" ht="15" customHeight="1">
      <c r="A75" s="12">
        <v>59</v>
      </c>
      <c r="B75" s="13" t="s">
        <v>33</v>
      </c>
      <c r="C75" s="9" t="s">
        <v>53</v>
      </c>
      <c r="D75" s="9" t="s">
        <v>167</v>
      </c>
      <c r="E75" s="9" t="s">
        <v>170</v>
      </c>
      <c r="F75" s="9" t="s">
        <v>222</v>
      </c>
      <c r="G75" s="9" t="s">
        <v>222</v>
      </c>
      <c r="H75" s="9" t="s">
        <v>171</v>
      </c>
      <c r="I75" s="15">
        <f t="shared" si="4"/>
        <v>2000</v>
      </c>
      <c r="J75" s="15">
        <v>0</v>
      </c>
      <c r="K75" s="15">
        <v>2000</v>
      </c>
      <c r="L75" s="41">
        <v>0</v>
      </c>
    </row>
    <row r="76" spans="1:12" s="1" customFormat="1" ht="15" customHeight="1">
      <c r="A76" s="12">
        <v>60</v>
      </c>
      <c r="B76" s="13" t="s">
        <v>33</v>
      </c>
      <c r="C76" s="9" t="s">
        <v>54</v>
      </c>
      <c r="D76" s="9" t="s">
        <v>169</v>
      </c>
      <c r="E76" s="9" t="s">
        <v>170</v>
      </c>
      <c r="F76" s="9" t="s">
        <v>222</v>
      </c>
      <c r="G76" s="9" t="s">
        <v>222</v>
      </c>
      <c r="H76" s="9" t="s">
        <v>171</v>
      </c>
      <c r="I76" s="15">
        <f t="shared" si="4"/>
        <v>102615</v>
      </c>
      <c r="J76" s="15">
        <v>41046</v>
      </c>
      <c r="K76" s="15">
        <v>61569</v>
      </c>
      <c r="L76" s="41">
        <v>0</v>
      </c>
    </row>
    <row r="77" spans="1:12" s="1" customFormat="1" ht="15" customHeight="1">
      <c r="A77" s="12">
        <v>61</v>
      </c>
      <c r="B77" s="13" t="s">
        <v>33</v>
      </c>
      <c r="C77" s="9" t="s">
        <v>55</v>
      </c>
      <c r="D77" s="9" t="s">
        <v>169</v>
      </c>
      <c r="E77" s="9" t="s">
        <v>170</v>
      </c>
      <c r="F77" s="9" t="s">
        <v>222</v>
      </c>
      <c r="G77" s="9" t="s">
        <v>222</v>
      </c>
      <c r="H77" s="9" t="s">
        <v>171</v>
      </c>
      <c r="I77" s="15">
        <f t="shared" si="4"/>
        <v>67185</v>
      </c>
      <c r="J77" s="15">
        <v>0</v>
      </c>
      <c r="K77" s="15">
        <v>67185</v>
      </c>
      <c r="L77" s="41">
        <v>0</v>
      </c>
    </row>
    <row r="78" spans="1:12" s="1" customFormat="1" ht="15" customHeight="1">
      <c r="A78" s="12">
        <v>62</v>
      </c>
      <c r="B78" s="13" t="s">
        <v>33</v>
      </c>
      <c r="C78" s="9" t="s">
        <v>56</v>
      </c>
      <c r="D78" s="9" t="s">
        <v>169</v>
      </c>
      <c r="E78" s="9" t="s">
        <v>170</v>
      </c>
      <c r="F78" s="9" t="s">
        <v>222</v>
      </c>
      <c r="G78" s="9" t="s">
        <v>222</v>
      </c>
      <c r="H78" s="9" t="s">
        <v>171</v>
      </c>
      <c r="I78" s="15">
        <f t="shared" si="4"/>
        <v>237784</v>
      </c>
      <c r="J78" s="15">
        <v>95112</v>
      </c>
      <c r="K78" s="15">
        <v>142672</v>
      </c>
      <c r="L78" s="41">
        <v>0</v>
      </c>
    </row>
    <row r="79" spans="1:12" s="1" customFormat="1" ht="15" customHeight="1">
      <c r="A79" s="12">
        <v>63</v>
      </c>
      <c r="B79" s="13" t="s">
        <v>33</v>
      </c>
      <c r="C79" s="9" t="s">
        <v>57</v>
      </c>
      <c r="D79" s="9" t="s">
        <v>169</v>
      </c>
      <c r="E79" s="9" t="s">
        <v>170</v>
      </c>
      <c r="F79" s="9" t="s">
        <v>222</v>
      </c>
      <c r="G79" s="9" t="s">
        <v>222</v>
      </c>
      <c r="H79" s="9" t="s">
        <v>171</v>
      </c>
      <c r="I79" s="15">
        <f t="shared" si="4"/>
        <v>34690</v>
      </c>
      <c r="J79" s="15">
        <v>0</v>
      </c>
      <c r="K79" s="15">
        <v>34690</v>
      </c>
      <c r="L79" s="41">
        <v>0</v>
      </c>
    </row>
    <row r="80" spans="1:12" s="47" customFormat="1" ht="15" customHeight="1">
      <c r="A80" s="6">
        <v>64</v>
      </c>
      <c r="B80" s="7" t="s">
        <v>33</v>
      </c>
      <c r="C80" s="9" t="s">
        <v>58</v>
      </c>
      <c r="D80" s="9" t="s">
        <v>167</v>
      </c>
      <c r="E80" s="9" t="s">
        <v>173</v>
      </c>
      <c r="F80" s="9" t="s">
        <v>222</v>
      </c>
      <c r="G80" s="9" t="s">
        <v>227</v>
      </c>
      <c r="H80" s="9" t="s">
        <v>164</v>
      </c>
      <c r="I80" s="10">
        <f t="shared" si="4"/>
        <v>180000</v>
      </c>
      <c r="J80" s="10">
        <v>0</v>
      </c>
      <c r="K80" s="10">
        <v>126000</v>
      </c>
      <c r="L80" s="40">
        <v>54000</v>
      </c>
    </row>
    <row r="81" spans="1:12" s="47" customFormat="1" ht="15" customHeight="1">
      <c r="A81" s="6">
        <v>65</v>
      </c>
      <c r="B81" s="7" t="s">
        <v>33</v>
      </c>
      <c r="C81" s="9" t="s">
        <v>192</v>
      </c>
      <c r="D81" s="9" t="s">
        <v>167</v>
      </c>
      <c r="E81" s="9" t="s">
        <v>170</v>
      </c>
      <c r="F81" s="9" t="s">
        <v>222</v>
      </c>
      <c r="G81" s="9" t="s">
        <v>227</v>
      </c>
      <c r="H81" s="9" t="s">
        <v>164</v>
      </c>
      <c r="I81" s="10">
        <f t="shared" si="4"/>
        <v>5000</v>
      </c>
      <c r="J81" s="10">
        <v>0</v>
      </c>
      <c r="K81" s="10">
        <v>3500</v>
      </c>
      <c r="L81" s="40">
        <v>1500</v>
      </c>
    </row>
    <row r="82" spans="1:12" s="47" customFormat="1" ht="15" customHeight="1">
      <c r="A82" s="6">
        <v>66</v>
      </c>
      <c r="B82" s="7" t="s">
        <v>33</v>
      </c>
      <c r="C82" s="9" t="s">
        <v>247</v>
      </c>
      <c r="D82" s="9" t="s">
        <v>167</v>
      </c>
      <c r="E82" s="9" t="s">
        <v>170</v>
      </c>
      <c r="F82" s="9" t="s">
        <v>229</v>
      </c>
      <c r="G82" s="9" t="s">
        <v>227</v>
      </c>
      <c r="H82" s="9" t="s">
        <v>164</v>
      </c>
      <c r="I82" s="10">
        <f t="shared" si="4"/>
        <v>4500</v>
      </c>
      <c r="J82" s="10">
        <v>3150</v>
      </c>
      <c r="K82" s="10">
        <v>1350</v>
      </c>
      <c r="L82" s="40"/>
    </row>
    <row r="83" spans="1:12" s="47" customFormat="1" ht="15" customHeight="1">
      <c r="A83" s="6">
        <v>67</v>
      </c>
      <c r="B83" s="7" t="s">
        <v>33</v>
      </c>
      <c r="C83" s="9" t="s">
        <v>253</v>
      </c>
      <c r="D83" s="9" t="s">
        <v>167</v>
      </c>
      <c r="E83" s="9" t="s">
        <v>170</v>
      </c>
      <c r="F83" s="9" t="s">
        <v>229</v>
      </c>
      <c r="G83" s="9" t="s">
        <v>227</v>
      </c>
      <c r="H83" s="9" t="s">
        <v>164</v>
      </c>
      <c r="I83" s="10">
        <f t="shared" si="4"/>
        <v>1000</v>
      </c>
      <c r="J83" s="10">
        <v>700</v>
      </c>
      <c r="K83" s="10">
        <v>300</v>
      </c>
      <c r="L83" s="40"/>
    </row>
    <row r="84" spans="1:12" s="47" customFormat="1" ht="15" customHeight="1">
      <c r="A84" s="6">
        <v>68</v>
      </c>
      <c r="B84" s="7" t="s">
        <v>33</v>
      </c>
      <c r="C84" s="9" t="s">
        <v>193</v>
      </c>
      <c r="D84" s="9" t="s">
        <v>169</v>
      </c>
      <c r="E84" s="9" t="s">
        <v>170</v>
      </c>
      <c r="F84" s="9" t="s">
        <v>229</v>
      </c>
      <c r="G84" s="9" t="s">
        <v>227</v>
      </c>
      <c r="H84" s="9" t="s">
        <v>164</v>
      </c>
      <c r="I84" s="10">
        <f t="shared" si="4"/>
        <v>13000</v>
      </c>
      <c r="J84" s="10">
        <v>9100</v>
      </c>
      <c r="K84" s="10">
        <v>3900</v>
      </c>
      <c r="L84" s="40">
        <v>0</v>
      </c>
    </row>
    <row r="85" spans="1:12" s="47" customFormat="1" ht="15" customHeight="1">
      <c r="A85" s="6">
        <v>69</v>
      </c>
      <c r="B85" s="7" t="s">
        <v>33</v>
      </c>
      <c r="C85" s="9" t="s">
        <v>194</v>
      </c>
      <c r="D85" s="9" t="s">
        <v>169</v>
      </c>
      <c r="E85" s="9" t="s">
        <v>170</v>
      </c>
      <c r="F85" s="9" t="s">
        <v>222</v>
      </c>
      <c r="G85" s="9" t="s">
        <v>227</v>
      </c>
      <c r="H85" s="9" t="s">
        <v>164</v>
      </c>
      <c r="I85" s="10">
        <f t="shared" si="4"/>
        <v>24000</v>
      </c>
      <c r="J85" s="10">
        <v>16800</v>
      </c>
      <c r="K85" s="10">
        <v>7200</v>
      </c>
      <c r="L85" s="40">
        <v>0</v>
      </c>
    </row>
    <row r="86" spans="1:12" s="47" customFormat="1" ht="15" customHeight="1">
      <c r="A86" s="6">
        <v>70</v>
      </c>
      <c r="B86" s="7" t="s">
        <v>33</v>
      </c>
      <c r="C86" s="9" t="s">
        <v>195</v>
      </c>
      <c r="D86" s="9" t="s">
        <v>162</v>
      </c>
      <c r="E86" s="9" t="s">
        <v>168</v>
      </c>
      <c r="F86" s="9" t="s">
        <v>222</v>
      </c>
      <c r="G86" s="9" t="s">
        <v>227</v>
      </c>
      <c r="H86" s="9" t="s">
        <v>164</v>
      </c>
      <c r="I86" s="10">
        <f t="shared" si="4"/>
        <v>7050</v>
      </c>
      <c r="J86" s="10">
        <v>4935</v>
      </c>
      <c r="K86" s="10">
        <v>2115</v>
      </c>
      <c r="L86" s="40">
        <v>0</v>
      </c>
    </row>
    <row r="87" spans="1:12" s="47" customFormat="1" ht="15" customHeight="1">
      <c r="A87" s="6">
        <v>71</v>
      </c>
      <c r="B87" s="7" t="s">
        <v>33</v>
      </c>
      <c r="C87" s="9" t="s">
        <v>196</v>
      </c>
      <c r="D87" s="9" t="s">
        <v>167</v>
      </c>
      <c r="E87" s="9" t="s">
        <v>170</v>
      </c>
      <c r="F87" s="9" t="s">
        <v>222</v>
      </c>
      <c r="G87" s="9" t="s">
        <v>227</v>
      </c>
      <c r="H87" s="9" t="s">
        <v>171</v>
      </c>
      <c r="I87" s="10">
        <f t="shared" si="4"/>
        <v>157380</v>
      </c>
      <c r="J87" s="10">
        <v>110166</v>
      </c>
      <c r="K87" s="10">
        <v>47214</v>
      </c>
      <c r="L87" s="40">
        <v>0</v>
      </c>
    </row>
    <row r="88" spans="1:12" s="47" customFormat="1" ht="15" customHeight="1">
      <c r="A88" s="6">
        <v>72</v>
      </c>
      <c r="B88" s="7" t="s">
        <v>33</v>
      </c>
      <c r="C88" s="9" t="s">
        <v>59</v>
      </c>
      <c r="D88" s="9" t="s">
        <v>162</v>
      </c>
      <c r="E88" s="9" t="s">
        <v>170</v>
      </c>
      <c r="F88" s="9" t="s">
        <v>222</v>
      </c>
      <c r="G88" s="9" t="s">
        <v>223</v>
      </c>
      <c r="H88" s="9" t="s">
        <v>164</v>
      </c>
      <c r="I88" s="10">
        <f t="shared" si="4"/>
        <v>621429</v>
      </c>
      <c r="J88" s="10">
        <v>435000</v>
      </c>
      <c r="K88" s="10">
        <v>186429</v>
      </c>
      <c r="L88" s="40">
        <v>0</v>
      </c>
    </row>
    <row r="89" spans="1:12" s="47" customFormat="1" ht="15" customHeight="1">
      <c r="A89" s="6">
        <v>73</v>
      </c>
      <c r="B89" s="7" t="s">
        <v>33</v>
      </c>
      <c r="C89" s="9" t="s">
        <v>197</v>
      </c>
      <c r="D89" s="9" t="s">
        <v>167</v>
      </c>
      <c r="E89" s="9" t="s">
        <v>170</v>
      </c>
      <c r="F89" s="9" t="s">
        <v>222</v>
      </c>
      <c r="G89" s="9" t="s">
        <v>227</v>
      </c>
      <c r="H89" s="9" t="s">
        <v>164</v>
      </c>
      <c r="I89" s="10">
        <f t="shared" si="4"/>
        <v>14050</v>
      </c>
      <c r="J89" s="10">
        <v>9835</v>
      </c>
      <c r="K89" s="10">
        <v>4215</v>
      </c>
      <c r="L89" s="40">
        <v>0</v>
      </c>
    </row>
    <row r="90" spans="1:12" s="47" customFormat="1" ht="15" customHeight="1">
      <c r="A90" s="6">
        <v>74</v>
      </c>
      <c r="B90" s="7" t="s">
        <v>33</v>
      </c>
      <c r="C90" s="9" t="s">
        <v>60</v>
      </c>
      <c r="D90" s="9" t="s">
        <v>169</v>
      </c>
      <c r="E90" s="9" t="s">
        <v>170</v>
      </c>
      <c r="F90" s="9" t="s">
        <v>222</v>
      </c>
      <c r="G90" s="9" t="s">
        <v>222</v>
      </c>
      <c r="H90" s="9" t="s">
        <v>164</v>
      </c>
      <c r="I90" s="10">
        <f t="shared" si="4"/>
        <v>12480</v>
      </c>
      <c r="J90" s="10">
        <v>0</v>
      </c>
      <c r="K90" s="10">
        <v>0</v>
      </c>
      <c r="L90" s="40">
        <v>12480</v>
      </c>
    </row>
    <row r="91" spans="1:12" s="47" customFormat="1" ht="15" customHeight="1">
      <c r="A91" s="6">
        <v>75</v>
      </c>
      <c r="B91" s="7" t="s">
        <v>33</v>
      </c>
      <c r="C91" s="9" t="s">
        <v>61</v>
      </c>
      <c r="D91" s="9" t="s">
        <v>169</v>
      </c>
      <c r="E91" s="9" t="s">
        <v>170</v>
      </c>
      <c r="F91" s="9" t="s">
        <v>222</v>
      </c>
      <c r="G91" s="9" t="s">
        <v>222</v>
      </c>
      <c r="H91" s="9" t="s">
        <v>171</v>
      </c>
      <c r="I91" s="10">
        <f t="shared" si="4"/>
        <v>20000</v>
      </c>
      <c r="J91" s="10">
        <v>16000</v>
      </c>
      <c r="K91" s="10">
        <v>2000</v>
      </c>
      <c r="L91" s="40">
        <v>2000</v>
      </c>
    </row>
    <row r="92" spans="1:12" s="47" customFormat="1" ht="15" customHeight="1">
      <c r="A92" s="6">
        <v>76</v>
      </c>
      <c r="B92" s="7" t="s">
        <v>33</v>
      </c>
      <c r="C92" s="9" t="s">
        <v>198</v>
      </c>
      <c r="D92" s="9" t="s">
        <v>162</v>
      </c>
      <c r="E92" s="9" t="s">
        <v>168</v>
      </c>
      <c r="F92" s="9" t="s">
        <v>222</v>
      </c>
      <c r="G92" s="9" t="s">
        <v>222</v>
      </c>
      <c r="H92" s="9" t="s">
        <v>171</v>
      </c>
      <c r="I92" s="10">
        <f t="shared" si="4"/>
        <v>2200</v>
      </c>
      <c r="J92" s="10">
        <v>0</v>
      </c>
      <c r="K92" s="10">
        <v>0</v>
      </c>
      <c r="L92" s="40">
        <v>2200</v>
      </c>
    </row>
    <row r="93" spans="1:12" s="47" customFormat="1" ht="15" customHeight="1">
      <c r="A93" s="6">
        <v>77</v>
      </c>
      <c r="B93" s="7" t="s">
        <v>33</v>
      </c>
      <c r="C93" s="9" t="s">
        <v>62</v>
      </c>
      <c r="D93" s="9" t="s">
        <v>162</v>
      </c>
      <c r="E93" s="9" t="s">
        <v>170</v>
      </c>
      <c r="F93" s="9" t="s">
        <v>224</v>
      </c>
      <c r="G93" s="9" t="s">
        <v>227</v>
      </c>
      <c r="H93" s="9" t="s">
        <v>171</v>
      </c>
      <c r="I93" s="10">
        <f t="shared" si="4"/>
        <v>169159</v>
      </c>
      <c r="J93" s="10">
        <v>104320</v>
      </c>
      <c r="K93" s="10">
        <v>7824</v>
      </c>
      <c r="L93" s="40">
        <v>57015</v>
      </c>
    </row>
    <row r="94" spans="1:12" s="47" customFormat="1" ht="15" customHeight="1">
      <c r="A94" s="6">
        <v>78</v>
      </c>
      <c r="B94" s="7" t="s">
        <v>33</v>
      </c>
      <c r="C94" s="9" t="s">
        <v>63</v>
      </c>
      <c r="D94" s="9" t="s">
        <v>162</v>
      </c>
      <c r="E94" s="9" t="s">
        <v>170</v>
      </c>
      <c r="F94" s="9" t="s">
        <v>222</v>
      </c>
      <c r="G94" s="9" t="s">
        <v>222</v>
      </c>
      <c r="H94" s="9" t="s">
        <v>171</v>
      </c>
      <c r="I94" s="10">
        <f t="shared" si="4"/>
        <v>48262</v>
      </c>
      <c r="J94" s="10">
        <v>18700</v>
      </c>
      <c r="K94" s="10">
        <v>9350</v>
      </c>
      <c r="L94" s="40">
        <v>20212</v>
      </c>
    </row>
    <row r="95" spans="1:12" s="47" customFormat="1" ht="15" customHeight="1">
      <c r="A95" s="6">
        <v>79</v>
      </c>
      <c r="B95" s="7" t="s">
        <v>33</v>
      </c>
      <c r="C95" s="9" t="s">
        <v>64</v>
      </c>
      <c r="D95" s="9" t="s">
        <v>169</v>
      </c>
      <c r="E95" s="9" t="s">
        <v>170</v>
      </c>
      <c r="F95" s="9" t="s">
        <v>222</v>
      </c>
      <c r="G95" s="9" t="s">
        <v>222</v>
      </c>
      <c r="H95" s="9" t="s">
        <v>171</v>
      </c>
      <c r="I95" s="10">
        <f t="shared" si="4"/>
        <v>164371</v>
      </c>
      <c r="J95" s="10">
        <v>104320</v>
      </c>
      <c r="K95" s="10">
        <v>13040</v>
      </c>
      <c r="L95" s="40">
        <v>47011</v>
      </c>
    </row>
    <row r="96" spans="1:12" s="47" customFormat="1" ht="15" customHeight="1">
      <c r="A96" s="6">
        <v>80</v>
      </c>
      <c r="B96" s="7" t="s">
        <v>33</v>
      </c>
      <c r="C96" s="9" t="s">
        <v>199</v>
      </c>
      <c r="D96" s="9" t="s">
        <v>169</v>
      </c>
      <c r="E96" s="9" t="s">
        <v>170</v>
      </c>
      <c r="F96" s="9" t="s">
        <v>222</v>
      </c>
      <c r="G96" s="9" t="s">
        <v>222</v>
      </c>
      <c r="H96" s="9" t="s">
        <v>171</v>
      </c>
      <c r="I96" s="10">
        <f t="shared" si="4"/>
        <v>92191</v>
      </c>
      <c r="J96" s="10"/>
      <c r="K96" s="10"/>
      <c r="L96" s="40">
        <v>92191</v>
      </c>
    </row>
    <row r="97" spans="1:12" ht="15" customHeight="1">
      <c r="A97" s="2"/>
      <c r="B97" s="3" t="s">
        <v>65</v>
      </c>
      <c r="C97" s="4"/>
      <c r="D97" s="18"/>
      <c r="E97" s="18"/>
      <c r="F97" s="18"/>
      <c r="G97" s="18"/>
      <c r="H97" s="18"/>
      <c r="I97" s="5">
        <f>SUM(I98)</f>
        <v>45831</v>
      </c>
      <c r="J97" s="5">
        <f>SUM(J98)</f>
        <v>0</v>
      </c>
      <c r="K97" s="5">
        <f>SUM(K98)</f>
        <v>0</v>
      </c>
      <c r="L97" s="39">
        <f>SUM(L98)</f>
        <v>45831</v>
      </c>
    </row>
    <row r="98" spans="1:12" ht="15" customHeight="1">
      <c r="A98" s="12">
        <v>81</v>
      </c>
      <c r="B98" s="13" t="s">
        <v>65</v>
      </c>
      <c r="C98" s="9" t="s">
        <v>66</v>
      </c>
      <c r="D98" s="9" t="s">
        <v>162</v>
      </c>
      <c r="E98" s="9" t="s">
        <v>165</v>
      </c>
      <c r="F98" s="9" t="s">
        <v>225</v>
      </c>
      <c r="G98" s="9" t="s">
        <v>223</v>
      </c>
      <c r="H98" s="9" t="s">
        <v>164</v>
      </c>
      <c r="I98" s="10">
        <f>SUM(J98:L98)</f>
        <v>45831</v>
      </c>
      <c r="J98" s="15">
        <v>0</v>
      </c>
      <c r="K98" s="15">
        <v>0</v>
      </c>
      <c r="L98" s="41">
        <v>45831</v>
      </c>
    </row>
    <row r="99" spans="1:12" ht="15" customHeight="1">
      <c r="A99" s="2"/>
      <c r="B99" s="3" t="s">
        <v>67</v>
      </c>
      <c r="C99" s="4"/>
      <c r="D99" s="18"/>
      <c r="E99" s="18"/>
      <c r="F99" s="18"/>
      <c r="G99" s="18"/>
      <c r="H99" s="18"/>
      <c r="I99" s="5">
        <f>SUM(I100:I129)</f>
        <v>3375612</v>
      </c>
      <c r="J99" s="5">
        <f>SUM(J100:J129)</f>
        <v>1787157</v>
      </c>
      <c r="K99" s="5">
        <f>SUM(K100:K129)</f>
        <v>891437</v>
      </c>
      <c r="L99" s="39">
        <f>SUM(L100:L129)</f>
        <v>697018</v>
      </c>
    </row>
    <row r="100" spans="1:12" ht="15" customHeight="1">
      <c r="A100" s="12">
        <v>82</v>
      </c>
      <c r="B100" s="13" t="s">
        <v>67</v>
      </c>
      <c r="C100" s="9" t="s">
        <v>68</v>
      </c>
      <c r="D100" s="9" t="s">
        <v>167</v>
      </c>
      <c r="E100" s="9" t="s">
        <v>173</v>
      </c>
      <c r="F100" s="9" t="s">
        <v>229</v>
      </c>
      <c r="G100" s="9" t="s">
        <v>227</v>
      </c>
      <c r="H100" s="9" t="s">
        <v>164</v>
      </c>
      <c r="I100" s="10">
        <f t="shared" ref="I100:I129" si="5">SUM(J100:L100)</f>
        <v>30000</v>
      </c>
      <c r="J100" s="15">
        <v>0</v>
      </c>
      <c r="K100" s="15">
        <v>0</v>
      </c>
      <c r="L100" s="41">
        <v>30000</v>
      </c>
    </row>
    <row r="101" spans="1:12" s="50" customFormat="1" ht="15" customHeight="1">
      <c r="A101" s="12">
        <v>83</v>
      </c>
      <c r="B101" s="13" t="s">
        <v>67</v>
      </c>
      <c r="C101" s="9" t="s">
        <v>69</v>
      </c>
      <c r="D101" s="9" t="s">
        <v>162</v>
      </c>
      <c r="E101" s="9" t="s">
        <v>168</v>
      </c>
      <c r="F101" s="9" t="s">
        <v>224</v>
      </c>
      <c r="G101" s="9" t="s">
        <v>227</v>
      </c>
      <c r="H101" s="9" t="s">
        <v>164</v>
      </c>
      <c r="I101" s="10">
        <f t="shared" si="5"/>
        <v>2000</v>
      </c>
      <c r="J101" s="15">
        <v>1400</v>
      </c>
      <c r="K101" s="15">
        <v>600</v>
      </c>
      <c r="L101" s="41">
        <v>0</v>
      </c>
    </row>
    <row r="102" spans="1:12" ht="15" customHeight="1">
      <c r="A102" s="12">
        <v>84</v>
      </c>
      <c r="B102" s="13" t="s">
        <v>67</v>
      </c>
      <c r="C102" s="9" t="s">
        <v>70</v>
      </c>
      <c r="D102" s="9" t="s">
        <v>162</v>
      </c>
      <c r="E102" s="9" t="s">
        <v>168</v>
      </c>
      <c r="F102" s="9" t="s">
        <v>222</v>
      </c>
      <c r="G102" s="9" t="s">
        <v>230</v>
      </c>
      <c r="H102" s="9" t="s">
        <v>164</v>
      </c>
      <c r="I102" s="10">
        <f t="shared" si="5"/>
        <v>7143</v>
      </c>
      <c r="J102" s="15">
        <v>5000</v>
      </c>
      <c r="K102" s="15">
        <v>2143</v>
      </c>
      <c r="L102" s="41">
        <v>0</v>
      </c>
    </row>
    <row r="103" spans="1:12" ht="15" customHeight="1">
      <c r="A103" s="12">
        <v>85</v>
      </c>
      <c r="B103" s="13" t="s">
        <v>67</v>
      </c>
      <c r="C103" s="9" t="s">
        <v>71</v>
      </c>
      <c r="D103" s="9" t="s">
        <v>162</v>
      </c>
      <c r="E103" s="9" t="s">
        <v>166</v>
      </c>
      <c r="F103" s="17" t="s">
        <v>222</v>
      </c>
      <c r="G103" s="17" t="s">
        <v>230</v>
      </c>
      <c r="H103" s="9" t="s">
        <v>164</v>
      </c>
      <c r="I103" s="10">
        <f t="shared" si="5"/>
        <v>472416</v>
      </c>
      <c r="J103" s="15">
        <v>330691</v>
      </c>
      <c r="K103" s="15">
        <v>141725</v>
      </c>
      <c r="L103" s="41">
        <v>0</v>
      </c>
    </row>
    <row r="104" spans="1:12" ht="15" customHeight="1">
      <c r="A104" s="12">
        <v>86</v>
      </c>
      <c r="B104" s="13" t="s">
        <v>67</v>
      </c>
      <c r="C104" s="9" t="s">
        <v>200</v>
      </c>
      <c r="D104" s="9" t="s">
        <v>172</v>
      </c>
      <c r="E104" s="9" t="s">
        <v>166</v>
      </c>
      <c r="F104" s="9" t="s">
        <v>221</v>
      </c>
      <c r="G104" s="9" t="s">
        <v>222</v>
      </c>
      <c r="H104" s="9" t="s">
        <v>171</v>
      </c>
      <c r="I104" s="10">
        <f t="shared" si="5"/>
        <v>256667</v>
      </c>
      <c r="J104" s="15">
        <v>0</v>
      </c>
      <c r="K104" s="15">
        <v>0</v>
      </c>
      <c r="L104" s="41">
        <v>256667</v>
      </c>
    </row>
    <row r="105" spans="1:12" ht="15" customHeight="1">
      <c r="A105" s="12">
        <v>87</v>
      </c>
      <c r="B105" s="13" t="s">
        <v>67</v>
      </c>
      <c r="C105" s="9" t="s">
        <v>72</v>
      </c>
      <c r="D105" s="9" t="s">
        <v>172</v>
      </c>
      <c r="E105" s="9" t="s">
        <v>165</v>
      </c>
      <c r="F105" s="9" t="s">
        <v>221</v>
      </c>
      <c r="G105" s="9" t="s">
        <v>222</v>
      </c>
      <c r="H105" s="9" t="s">
        <v>171</v>
      </c>
      <c r="I105" s="10">
        <f t="shared" si="5"/>
        <v>190602</v>
      </c>
      <c r="J105" s="15">
        <v>95301</v>
      </c>
      <c r="K105" s="15">
        <v>47650</v>
      </c>
      <c r="L105" s="41">
        <v>47651</v>
      </c>
    </row>
    <row r="106" spans="1:12" ht="15" customHeight="1">
      <c r="A106" s="12">
        <v>88</v>
      </c>
      <c r="B106" s="13" t="s">
        <v>67</v>
      </c>
      <c r="C106" s="9" t="s">
        <v>73</v>
      </c>
      <c r="D106" s="9" t="s">
        <v>172</v>
      </c>
      <c r="E106" s="9" t="s">
        <v>165</v>
      </c>
      <c r="F106" s="9" t="s">
        <v>221</v>
      </c>
      <c r="G106" s="9" t="s">
        <v>222</v>
      </c>
      <c r="H106" s="9" t="s">
        <v>171</v>
      </c>
      <c r="I106" s="10">
        <f t="shared" si="5"/>
        <v>5880</v>
      </c>
      <c r="J106" s="15">
        <v>0</v>
      </c>
      <c r="K106" s="15">
        <v>5880</v>
      </c>
      <c r="L106" s="41">
        <v>0</v>
      </c>
    </row>
    <row r="107" spans="1:12" ht="15" customHeight="1">
      <c r="A107" s="12">
        <v>89</v>
      </c>
      <c r="B107" s="13" t="s">
        <v>67</v>
      </c>
      <c r="C107" s="9" t="s">
        <v>74</v>
      </c>
      <c r="D107" s="9" t="s">
        <v>172</v>
      </c>
      <c r="E107" s="9" t="s">
        <v>165</v>
      </c>
      <c r="F107" s="9" t="s">
        <v>221</v>
      </c>
      <c r="G107" s="9" t="s">
        <v>222</v>
      </c>
      <c r="H107" s="9" t="s">
        <v>171</v>
      </c>
      <c r="I107" s="10">
        <f t="shared" si="5"/>
        <v>24648</v>
      </c>
      <c r="J107" s="15">
        <v>12324</v>
      </c>
      <c r="K107" s="15">
        <v>12324</v>
      </c>
      <c r="L107" s="41">
        <v>0</v>
      </c>
    </row>
    <row r="108" spans="1:12" s="47" customFormat="1" ht="15" customHeight="1">
      <c r="A108" s="6">
        <v>90</v>
      </c>
      <c r="B108" s="7" t="s">
        <v>67</v>
      </c>
      <c r="C108" s="9" t="s">
        <v>263</v>
      </c>
      <c r="D108" s="9" t="s">
        <v>167</v>
      </c>
      <c r="E108" s="9" t="s">
        <v>170</v>
      </c>
      <c r="F108" s="9" t="s">
        <v>221</v>
      </c>
      <c r="G108" s="9" t="s">
        <v>222</v>
      </c>
      <c r="H108" s="9" t="s">
        <v>164</v>
      </c>
      <c r="I108" s="10">
        <f t="shared" si="5"/>
        <v>1800</v>
      </c>
      <c r="J108" s="10">
        <v>900</v>
      </c>
      <c r="K108" s="10">
        <v>900</v>
      </c>
      <c r="L108" s="40"/>
    </row>
    <row r="109" spans="1:12" s="47" customFormat="1" ht="15" customHeight="1">
      <c r="A109" s="6">
        <v>91</v>
      </c>
      <c r="B109" s="7" t="s">
        <v>67</v>
      </c>
      <c r="C109" s="9" t="s">
        <v>264</v>
      </c>
      <c r="D109" s="9" t="s">
        <v>167</v>
      </c>
      <c r="E109" s="9" t="s">
        <v>170</v>
      </c>
      <c r="F109" s="9" t="s">
        <v>221</v>
      </c>
      <c r="G109" s="9" t="s">
        <v>222</v>
      </c>
      <c r="H109" s="9" t="s">
        <v>171</v>
      </c>
      <c r="I109" s="10">
        <f t="shared" si="5"/>
        <v>3394</v>
      </c>
      <c r="J109" s="10"/>
      <c r="K109" s="10">
        <v>1697</v>
      </c>
      <c r="L109" s="40">
        <v>1697</v>
      </c>
    </row>
    <row r="110" spans="1:12" s="47" customFormat="1" ht="15" customHeight="1">
      <c r="A110" s="6">
        <v>92</v>
      </c>
      <c r="B110" s="7" t="s">
        <v>67</v>
      </c>
      <c r="C110" s="9" t="s">
        <v>201</v>
      </c>
      <c r="D110" s="9" t="s">
        <v>172</v>
      </c>
      <c r="E110" s="9" t="s">
        <v>166</v>
      </c>
      <c r="F110" s="9" t="s">
        <v>221</v>
      </c>
      <c r="G110" s="9" t="s">
        <v>222</v>
      </c>
      <c r="H110" s="9" t="s">
        <v>171</v>
      </c>
      <c r="I110" s="10">
        <f t="shared" si="5"/>
        <v>20500</v>
      </c>
      <c r="J110" s="10">
        <v>8200</v>
      </c>
      <c r="K110" s="10">
        <v>6150</v>
      </c>
      <c r="L110" s="40">
        <v>6150</v>
      </c>
    </row>
    <row r="111" spans="1:12" s="47" customFormat="1" ht="15" customHeight="1">
      <c r="A111" s="6">
        <v>93</v>
      </c>
      <c r="B111" s="7" t="s">
        <v>67</v>
      </c>
      <c r="C111" s="9" t="s">
        <v>75</v>
      </c>
      <c r="D111" s="9" t="s">
        <v>172</v>
      </c>
      <c r="E111" s="9" t="s">
        <v>166</v>
      </c>
      <c r="F111" s="9" t="s">
        <v>221</v>
      </c>
      <c r="G111" s="9" t="s">
        <v>222</v>
      </c>
      <c r="H111" s="9" t="s">
        <v>171</v>
      </c>
      <c r="I111" s="10">
        <f t="shared" si="5"/>
        <v>23870</v>
      </c>
      <c r="J111" s="10">
        <v>9550</v>
      </c>
      <c r="K111" s="10">
        <v>7160</v>
      </c>
      <c r="L111" s="40">
        <v>7160</v>
      </c>
    </row>
    <row r="112" spans="1:12" s="47" customFormat="1" ht="15" customHeight="1">
      <c r="A112" s="6">
        <v>94</v>
      </c>
      <c r="B112" s="7" t="s">
        <v>67</v>
      </c>
      <c r="C112" s="9" t="s">
        <v>76</v>
      </c>
      <c r="D112" s="9" t="s">
        <v>172</v>
      </c>
      <c r="E112" s="9" t="s">
        <v>163</v>
      </c>
      <c r="F112" s="9" t="s">
        <v>221</v>
      </c>
      <c r="G112" s="9" t="s">
        <v>222</v>
      </c>
      <c r="H112" s="9" t="s">
        <v>171</v>
      </c>
      <c r="I112" s="10">
        <f t="shared" si="5"/>
        <v>2800</v>
      </c>
      <c r="J112" s="10">
        <v>1400</v>
      </c>
      <c r="K112" s="10">
        <v>1400</v>
      </c>
      <c r="L112" s="40">
        <v>0</v>
      </c>
    </row>
    <row r="113" spans="1:12" s="47" customFormat="1" ht="15" customHeight="1">
      <c r="A113" s="6">
        <v>95</v>
      </c>
      <c r="B113" s="7" t="s">
        <v>67</v>
      </c>
      <c r="C113" s="9" t="s">
        <v>202</v>
      </c>
      <c r="D113" s="9" t="s">
        <v>172</v>
      </c>
      <c r="E113" s="9" t="s">
        <v>163</v>
      </c>
      <c r="F113" s="9" t="s">
        <v>221</v>
      </c>
      <c r="G113" s="9" t="s">
        <v>222</v>
      </c>
      <c r="H113" s="9" t="s">
        <v>171</v>
      </c>
      <c r="I113" s="10">
        <f t="shared" si="5"/>
        <v>2000</v>
      </c>
      <c r="J113" s="10">
        <v>1000</v>
      </c>
      <c r="K113" s="10">
        <v>1000</v>
      </c>
      <c r="L113" s="40">
        <v>0</v>
      </c>
    </row>
    <row r="114" spans="1:12" s="47" customFormat="1" ht="15" customHeight="1">
      <c r="A114" s="6">
        <v>96</v>
      </c>
      <c r="B114" s="7" t="s">
        <v>67</v>
      </c>
      <c r="C114" s="9" t="s">
        <v>77</v>
      </c>
      <c r="D114" s="9" t="s">
        <v>167</v>
      </c>
      <c r="E114" s="9" t="s">
        <v>170</v>
      </c>
      <c r="F114" s="9" t="s">
        <v>221</v>
      </c>
      <c r="G114" s="9" t="s">
        <v>223</v>
      </c>
      <c r="H114" s="9" t="s">
        <v>171</v>
      </c>
      <c r="I114" s="10">
        <f t="shared" si="5"/>
        <v>240990</v>
      </c>
      <c r="J114" s="10">
        <v>120495</v>
      </c>
      <c r="K114" s="10">
        <v>60248</v>
      </c>
      <c r="L114" s="40">
        <v>60247</v>
      </c>
    </row>
    <row r="115" spans="1:12" s="47" customFormat="1" ht="15" customHeight="1">
      <c r="A115" s="6">
        <v>97</v>
      </c>
      <c r="B115" s="7" t="s">
        <v>67</v>
      </c>
      <c r="C115" s="9" t="s">
        <v>78</v>
      </c>
      <c r="D115" s="9" t="s">
        <v>169</v>
      </c>
      <c r="E115" s="9" t="s">
        <v>170</v>
      </c>
      <c r="F115" s="9" t="s">
        <v>221</v>
      </c>
      <c r="G115" s="9" t="s">
        <v>223</v>
      </c>
      <c r="H115" s="9" t="s">
        <v>164</v>
      </c>
      <c r="I115" s="10">
        <f t="shared" si="5"/>
        <v>26291</v>
      </c>
      <c r="J115" s="10">
        <v>18404</v>
      </c>
      <c r="K115" s="10">
        <v>7887</v>
      </c>
      <c r="L115" s="40">
        <v>0</v>
      </c>
    </row>
    <row r="116" spans="1:12" s="47" customFormat="1" ht="15" customHeight="1">
      <c r="A116" s="6">
        <v>98</v>
      </c>
      <c r="B116" s="7" t="s">
        <v>67</v>
      </c>
      <c r="C116" s="9" t="s">
        <v>79</v>
      </c>
      <c r="D116" s="9" t="s">
        <v>169</v>
      </c>
      <c r="E116" s="9" t="s">
        <v>170</v>
      </c>
      <c r="F116" s="19" t="s">
        <v>221</v>
      </c>
      <c r="G116" s="19" t="s">
        <v>227</v>
      </c>
      <c r="H116" s="9" t="s">
        <v>164</v>
      </c>
      <c r="I116" s="10">
        <f t="shared" si="5"/>
        <v>100000</v>
      </c>
      <c r="J116" s="10">
        <v>50000</v>
      </c>
      <c r="K116" s="10">
        <v>25000</v>
      </c>
      <c r="L116" s="40">
        <v>25000</v>
      </c>
    </row>
    <row r="117" spans="1:12" s="47" customFormat="1" ht="15" customHeight="1">
      <c r="A117" s="6">
        <v>99</v>
      </c>
      <c r="B117" s="7" t="s">
        <v>67</v>
      </c>
      <c r="C117" s="9" t="s">
        <v>203</v>
      </c>
      <c r="D117" s="9" t="s">
        <v>169</v>
      </c>
      <c r="E117" s="9" t="s">
        <v>170</v>
      </c>
      <c r="F117" s="9" t="s">
        <v>221</v>
      </c>
      <c r="G117" s="9" t="s">
        <v>227</v>
      </c>
      <c r="H117" s="9" t="s">
        <v>164</v>
      </c>
      <c r="I117" s="10">
        <f t="shared" si="5"/>
        <v>14800</v>
      </c>
      <c r="J117" s="10">
        <v>7400</v>
      </c>
      <c r="K117" s="10">
        <v>3700</v>
      </c>
      <c r="L117" s="40">
        <v>3700</v>
      </c>
    </row>
    <row r="118" spans="1:12" s="47" customFormat="1" ht="15" customHeight="1">
      <c r="A118" s="6">
        <v>100</v>
      </c>
      <c r="B118" s="7" t="s">
        <v>67</v>
      </c>
      <c r="C118" s="9" t="s">
        <v>80</v>
      </c>
      <c r="D118" s="9" t="s">
        <v>169</v>
      </c>
      <c r="E118" s="9" t="s">
        <v>170</v>
      </c>
      <c r="F118" s="19" t="s">
        <v>221</v>
      </c>
      <c r="G118" s="19" t="s">
        <v>227</v>
      </c>
      <c r="H118" s="9" t="s">
        <v>171</v>
      </c>
      <c r="I118" s="10">
        <f t="shared" si="5"/>
        <v>50000</v>
      </c>
      <c r="J118" s="10">
        <v>25000</v>
      </c>
      <c r="K118" s="10">
        <v>12500</v>
      </c>
      <c r="L118" s="40">
        <v>12500</v>
      </c>
    </row>
    <row r="119" spans="1:12" s="47" customFormat="1" ht="15" customHeight="1">
      <c r="A119" s="6">
        <v>101</v>
      </c>
      <c r="B119" s="7" t="s">
        <v>67</v>
      </c>
      <c r="C119" s="9" t="s">
        <v>81</v>
      </c>
      <c r="D119" s="9" t="s">
        <v>169</v>
      </c>
      <c r="E119" s="9" t="s">
        <v>170</v>
      </c>
      <c r="F119" s="9" t="s">
        <v>221</v>
      </c>
      <c r="G119" s="9" t="s">
        <v>227</v>
      </c>
      <c r="H119" s="9" t="s">
        <v>171</v>
      </c>
      <c r="I119" s="10">
        <f t="shared" si="5"/>
        <v>100102</v>
      </c>
      <c r="J119" s="10">
        <v>50051</v>
      </c>
      <c r="K119" s="10">
        <v>25026</v>
      </c>
      <c r="L119" s="40">
        <v>25025</v>
      </c>
    </row>
    <row r="120" spans="1:12" s="47" customFormat="1" ht="15" customHeight="1">
      <c r="A120" s="6">
        <v>102</v>
      </c>
      <c r="B120" s="7" t="s">
        <v>67</v>
      </c>
      <c r="C120" s="9" t="s">
        <v>82</v>
      </c>
      <c r="D120" s="9" t="s">
        <v>169</v>
      </c>
      <c r="E120" s="9" t="s">
        <v>170</v>
      </c>
      <c r="F120" s="9" t="s">
        <v>221</v>
      </c>
      <c r="G120" s="9" t="s">
        <v>227</v>
      </c>
      <c r="H120" s="9" t="s">
        <v>171</v>
      </c>
      <c r="I120" s="10">
        <f t="shared" si="5"/>
        <v>163188</v>
      </c>
      <c r="J120" s="10">
        <v>0</v>
      </c>
      <c r="K120" s="10">
        <v>81594</v>
      </c>
      <c r="L120" s="40">
        <v>81594</v>
      </c>
    </row>
    <row r="121" spans="1:12" s="47" customFormat="1" ht="15" customHeight="1">
      <c r="A121" s="6">
        <v>103</v>
      </c>
      <c r="B121" s="7" t="s">
        <v>67</v>
      </c>
      <c r="C121" s="9" t="s">
        <v>83</v>
      </c>
      <c r="D121" s="9" t="s">
        <v>167</v>
      </c>
      <c r="E121" s="9" t="s">
        <v>170</v>
      </c>
      <c r="F121" s="9" t="s">
        <v>221</v>
      </c>
      <c r="G121" s="9" t="s">
        <v>227</v>
      </c>
      <c r="H121" s="9" t="s">
        <v>171</v>
      </c>
      <c r="I121" s="10">
        <f t="shared" si="5"/>
        <v>170240</v>
      </c>
      <c r="J121" s="10">
        <v>85120</v>
      </c>
      <c r="K121" s="10">
        <v>42560</v>
      </c>
      <c r="L121" s="40">
        <v>42560</v>
      </c>
    </row>
    <row r="122" spans="1:12" s="47" customFormat="1" ht="15" customHeight="1">
      <c r="A122" s="6">
        <v>104</v>
      </c>
      <c r="B122" s="7" t="s">
        <v>67</v>
      </c>
      <c r="C122" s="9" t="s">
        <v>265</v>
      </c>
      <c r="D122" s="9" t="s">
        <v>167</v>
      </c>
      <c r="E122" s="9" t="s">
        <v>170</v>
      </c>
      <c r="F122" s="9" t="s">
        <v>221</v>
      </c>
      <c r="G122" s="9" t="s">
        <v>227</v>
      </c>
      <c r="H122" s="9" t="s">
        <v>171</v>
      </c>
      <c r="I122" s="10">
        <f t="shared" si="5"/>
        <v>23276</v>
      </c>
      <c r="J122" s="10"/>
      <c r="K122" s="10">
        <v>11638</v>
      </c>
      <c r="L122" s="48">
        <v>11638</v>
      </c>
    </row>
    <row r="123" spans="1:12" s="47" customFormat="1" ht="15" customHeight="1">
      <c r="A123" s="6">
        <v>105</v>
      </c>
      <c r="B123" s="7" t="s">
        <v>67</v>
      </c>
      <c r="C123" s="9" t="s">
        <v>204</v>
      </c>
      <c r="D123" s="9" t="s">
        <v>169</v>
      </c>
      <c r="E123" s="9" t="s">
        <v>165</v>
      </c>
      <c r="F123" s="9" t="s">
        <v>225</v>
      </c>
      <c r="G123" s="9" t="s">
        <v>231</v>
      </c>
      <c r="H123" s="9" t="s">
        <v>164</v>
      </c>
      <c r="I123" s="10">
        <f t="shared" si="5"/>
        <v>178038</v>
      </c>
      <c r="J123" s="10">
        <v>119027</v>
      </c>
      <c r="K123" s="10">
        <v>25505</v>
      </c>
      <c r="L123" s="40">
        <v>33506</v>
      </c>
    </row>
    <row r="124" spans="1:12" s="47" customFormat="1" ht="15" customHeight="1">
      <c r="A124" s="6">
        <v>106</v>
      </c>
      <c r="B124" s="7" t="s">
        <v>67</v>
      </c>
      <c r="C124" s="9" t="s">
        <v>205</v>
      </c>
      <c r="D124" s="9" t="s">
        <v>167</v>
      </c>
      <c r="E124" s="9" t="s">
        <v>170</v>
      </c>
      <c r="F124" s="9" t="s">
        <v>225</v>
      </c>
      <c r="G124" s="9" t="s">
        <v>231</v>
      </c>
      <c r="H124" s="9" t="s">
        <v>171</v>
      </c>
      <c r="I124" s="10">
        <f t="shared" si="5"/>
        <v>25958</v>
      </c>
      <c r="J124" s="10">
        <v>12979</v>
      </c>
      <c r="K124" s="10">
        <v>6490</v>
      </c>
      <c r="L124" s="40">
        <v>6489</v>
      </c>
    </row>
    <row r="125" spans="1:12" s="47" customFormat="1" ht="15" customHeight="1">
      <c r="A125" s="6">
        <v>107</v>
      </c>
      <c r="B125" s="7" t="s">
        <v>67</v>
      </c>
      <c r="C125" s="9" t="s">
        <v>266</v>
      </c>
      <c r="D125" s="9" t="s">
        <v>167</v>
      </c>
      <c r="E125" s="9" t="s">
        <v>170</v>
      </c>
      <c r="F125" s="9" t="s">
        <v>225</v>
      </c>
      <c r="G125" s="9" t="s">
        <v>231</v>
      </c>
      <c r="H125" s="9" t="s">
        <v>171</v>
      </c>
      <c r="I125" s="10">
        <f t="shared" si="5"/>
        <v>3697</v>
      </c>
      <c r="J125" s="10"/>
      <c r="K125" s="10">
        <v>3697</v>
      </c>
      <c r="L125" s="48"/>
    </row>
    <row r="126" spans="1:12" ht="15" customHeight="1">
      <c r="A126" s="12">
        <v>108</v>
      </c>
      <c r="B126" s="13" t="s">
        <v>67</v>
      </c>
      <c r="C126" s="9" t="s">
        <v>84</v>
      </c>
      <c r="D126" s="9" t="s">
        <v>169</v>
      </c>
      <c r="E126" s="9" t="s">
        <v>170</v>
      </c>
      <c r="F126" s="9" t="s">
        <v>221</v>
      </c>
      <c r="G126" s="9" t="s">
        <v>222</v>
      </c>
      <c r="H126" s="9" t="s">
        <v>164</v>
      </c>
      <c r="I126" s="10">
        <f t="shared" si="5"/>
        <v>14234</v>
      </c>
      <c r="J126" s="15">
        <v>0</v>
      </c>
      <c r="K126" s="15">
        <v>0</v>
      </c>
      <c r="L126" s="41">
        <v>14234</v>
      </c>
    </row>
    <row r="127" spans="1:12" s="50" customFormat="1" ht="15" customHeight="1">
      <c r="A127" s="6">
        <v>109</v>
      </c>
      <c r="B127" s="7" t="s">
        <v>67</v>
      </c>
      <c r="C127" s="9" t="s">
        <v>232</v>
      </c>
      <c r="D127" s="9" t="s">
        <v>162</v>
      </c>
      <c r="E127" s="9" t="s">
        <v>233</v>
      </c>
      <c r="F127" s="9" t="s">
        <v>234</v>
      </c>
      <c r="G127" s="9" t="s">
        <v>235</v>
      </c>
      <c r="H127" s="9" t="s">
        <v>164</v>
      </c>
      <c r="I127" s="10">
        <f t="shared" si="5"/>
        <v>1189878</v>
      </c>
      <c r="J127" s="10">
        <v>832915</v>
      </c>
      <c r="K127" s="10">
        <v>356963</v>
      </c>
      <c r="L127" s="40" t="s">
        <v>236</v>
      </c>
    </row>
    <row r="128" spans="1:12" s="50" customFormat="1" ht="15" customHeight="1">
      <c r="A128" s="12">
        <v>110</v>
      </c>
      <c r="B128" s="13" t="s">
        <v>67</v>
      </c>
      <c r="C128" s="9" t="s">
        <v>85</v>
      </c>
      <c r="D128" s="9" t="s">
        <v>172</v>
      </c>
      <c r="E128" s="9" t="s">
        <v>163</v>
      </c>
      <c r="F128" s="9" t="s">
        <v>221</v>
      </c>
      <c r="G128" s="9" t="s">
        <v>222</v>
      </c>
      <c r="H128" s="9" t="s">
        <v>164</v>
      </c>
      <c r="I128" s="10">
        <f t="shared" si="5"/>
        <v>11200</v>
      </c>
      <c r="J128" s="15">
        <v>0</v>
      </c>
      <c r="K128" s="15">
        <v>0</v>
      </c>
      <c r="L128" s="41">
        <v>11200</v>
      </c>
    </row>
    <row r="129" spans="1:12" s="47" customFormat="1" ht="15" customHeight="1">
      <c r="A129" s="6">
        <v>111</v>
      </c>
      <c r="B129" s="7" t="s">
        <v>67</v>
      </c>
      <c r="C129" s="9" t="s">
        <v>267</v>
      </c>
      <c r="D129" s="9" t="s">
        <v>169</v>
      </c>
      <c r="E129" s="9" t="s">
        <v>170</v>
      </c>
      <c r="F129" s="9" t="s">
        <v>221</v>
      </c>
      <c r="G129" s="9" t="s">
        <v>222</v>
      </c>
      <c r="H129" s="9" t="s">
        <v>164</v>
      </c>
      <c r="I129" s="10">
        <f t="shared" si="5"/>
        <v>20000</v>
      </c>
      <c r="J129" s="10"/>
      <c r="K129" s="10"/>
      <c r="L129" s="48">
        <v>20000</v>
      </c>
    </row>
    <row r="130" spans="1:12" ht="15" customHeight="1">
      <c r="A130" s="2"/>
      <c r="B130" s="3" t="s">
        <v>86</v>
      </c>
      <c r="C130" s="4"/>
      <c r="D130" s="18"/>
      <c r="E130" s="18"/>
      <c r="F130" s="18"/>
      <c r="G130" s="18"/>
      <c r="H130" s="18"/>
      <c r="I130" s="5">
        <f>SUM(I131:I185)</f>
        <v>75355760</v>
      </c>
      <c r="J130" s="5">
        <f>SUM(J131:J185)</f>
        <v>41626887</v>
      </c>
      <c r="K130" s="5">
        <f>SUM(K131:K185)</f>
        <v>27064844</v>
      </c>
      <c r="L130" s="39">
        <f>SUM(L131:L185)</f>
        <v>6664029</v>
      </c>
    </row>
    <row r="131" spans="1:12" ht="15" customHeight="1">
      <c r="A131" s="6">
        <v>112</v>
      </c>
      <c r="B131" s="7" t="s">
        <v>86</v>
      </c>
      <c r="C131" s="9" t="s">
        <v>206</v>
      </c>
      <c r="D131" s="9" t="s">
        <v>162</v>
      </c>
      <c r="E131" s="9" t="s">
        <v>168</v>
      </c>
      <c r="F131" s="9" t="s">
        <v>222</v>
      </c>
      <c r="G131" s="9" t="s">
        <v>222</v>
      </c>
      <c r="H131" s="9" t="s">
        <v>164</v>
      </c>
      <c r="I131" s="10">
        <f t="shared" ref="I131:I136" si="6">SUM(J131:L131)</f>
        <v>684480</v>
      </c>
      <c r="J131" s="10">
        <v>342240</v>
      </c>
      <c r="K131" s="10">
        <v>171120</v>
      </c>
      <c r="L131" s="40">
        <v>171120</v>
      </c>
    </row>
    <row r="132" spans="1:12" ht="15" customHeight="1">
      <c r="A132" s="6">
        <v>113</v>
      </c>
      <c r="B132" s="13" t="s">
        <v>86</v>
      </c>
      <c r="C132" s="9" t="s">
        <v>161</v>
      </c>
      <c r="D132" s="9" t="s">
        <v>169</v>
      </c>
      <c r="E132" s="9" t="s">
        <v>168</v>
      </c>
      <c r="F132" s="17" t="s">
        <v>222</v>
      </c>
      <c r="G132" s="17" t="s">
        <v>227</v>
      </c>
      <c r="H132" s="9" t="s">
        <v>164</v>
      </c>
      <c r="I132" s="10">
        <f t="shared" si="6"/>
        <v>168750</v>
      </c>
      <c r="J132" s="15">
        <v>84375</v>
      </c>
      <c r="K132" s="15">
        <v>84375</v>
      </c>
      <c r="L132" s="41">
        <v>0</v>
      </c>
    </row>
    <row r="133" spans="1:12" ht="15" customHeight="1">
      <c r="A133" s="6">
        <v>114</v>
      </c>
      <c r="B133" s="13" t="s">
        <v>86</v>
      </c>
      <c r="C133" s="9" t="s">
        <v>87</v>
      </c>
      <c r="D133" s="9" t="s">
        <v>162</v>
      </c>
      <c r="E133" s="9" t="s">
        <v>168</v>
      </c>
      <c r="F133" s="17" t="s">
        <v>222</v>
      </c>
      <c r="G133" s="17" t="s">
        <v>222</v>
      </c>
      <c r="H133" s="9" t="s">
        <v>164</v>
      </c>
      <c r="I133" s="10">
        <f t="shared" si="6"/>
        <v>294368</v>
      </c>
      <c r="J133" s="15">
        <v>137985</v>
      </c>
      <c r="K133" s="15">
        <v>96589</v>
      </c>
      <c r="L133" s="41">
        <v>59794</v>
      </c>
    </row>
    <row r="134" spans="1:12" ht="15" customHeight="1">
      <c r="A134" s="6">
        <v>115</v>
      </c>
      <c r="B134" s="13" t="s">
        <v>86</v>
      </c>
      <c r="C134" s="9" t="s">
        <v>88</v>
      </c>
      <c r="D134" s="9" t="s">
        <v>162</v>
      </c>
      <c r="E134" s="9" t="s">
        <v>168</v>
      </c>
      <c r="F134" s="17" t="s">
        <v>224</v>
      </c>
      <c r="G134" s="17" t="s">
        <v>222</v>
      </c>
      <c r="H134" s="9" t="s">
        <v>164</v>
      </c>
      <c r="I134" s="10">
        <f t="shared" si="6"/>
        <v>3181538</v>
      </c>
      <c r="J134" s="15">
        <v>2227076</v>
      </c>
      <c r="K134" s="15">
        <v>477231</v>
      </c>
      <c r="L134" s="41">
        <v>477231</v>
      </c>
    </row>
    <row r="135" spans="1:12" ht="15" customHeight="1">
      <c r="A135" s="6">
        <v>116</v>
      </c>
      <c r="B135" s="13" t="s">
        <v>86</v>
      </c>
      <c r="C135" s="9" t="s">
        <v>92</v>
      </c>
      <c r="D135" s="9" t="s">
        <v>162</v>
      </c>
      <c r="E135" s="9" t="s">
        <v>168</v>
      </c>
      <c r="F135" s="17" t="s">
        <v>222</v>
      </c>
      <c r="G135" s="17" t="s">
        <v>242</v>
      </c>
      <c r="H135" s="9" t="s">
        <v>164</v>
      </c>
      <c r="I135" s="10">
        <f t="shared" si="6"/>
        <v>461359</v>
      </c>
      <c r="J135" s="15">
        <v>230678</v>
      </c>
      <c r="K135" s="15">
        <v>230681</v>
      </c>
      <c r="L135" s="41">
        <v>0</v>
      </c>
    </row>
    <row r="136" spans="1:12" ht="15" customHeight="1">
      <c r="A136" s="6">
        <v>117</v>
      </c>
      <c r="B136" s="13" t="s">
        <v>86</v>
      </c>
      <c r="C136" s="9" t="s">
        <v>93</v>
      </c>
      <c r="D136" s="9" t="s">
        <v>162</v>
      </c>
      <c r="E136" s="9" t="s">
        <v>165</v>
      </c>
      <c r="F136" s="17" t="s">
        <v>222</v>
      </c>
      <c r="G136" s="17" t="s">
        <v>242</v>
      </c>
      <c r="H136" s="9" t="s">
        <v>164</v>
      </c>
      <c r="I136" s="10">
        <f t="shared" si="6"/>
        <v>6000</v>
      </c>
      <c r="J136" s="15">
        <v>0</v>
      </c>
      <c r="K136" s="15">
        <v>0</v>
      </c>
      <c r="L136" s="41">
        <v>6000</v>
      </c>
    </row>
    <row r="137" spans="1:12" s="50" customFormat="1" ht="15" customHeight="1">
      <c r="A137" s="6">
        <v>118</v>
      </c>
      <c r="B137" s="13" t="s">
        <v>86</v>
      </c>
      <c r="C137" s="9" t="s">
        <v>94</v>
      </c>
      <c r="D137" s="9" t="s">
        <v>162</v>
      </c>
      <c r="E137" s="9" t="s">
        <v>165</v>
      </c>
      <c r="F137" s="9" t="s">
        <v>222</v>
      </c>
      <c r="G137" s="9" t="s">
        <v>242</v>
      </c>
      <c r="H137" s="9" t="s">
        <v>164</v>
      </c>
      <c r="I137" s="10">
        <v>37000</v>
      </c>
      <c r="J137" s="15">
        <v>0</v>
      </c>
      <c r="K137" s="15">
        <v>0</v>
      </c>
      <c r="L137" s="41">
        <v>37000</v>
      </c>
    </row>
    <row r="138" spans="1:12" s="50" customFormat="1" ht="15" customHeight="1">
      <c r="A138" s="6">
        <v>119</v>
      </c>
      <c r="B138" s="13" t="s">
        <v>86</v>
      </c>
      <c r="C138" s="9" t="s">
        <v>207</v>
      </c>
      <c r="D138" s="9" t="s">
        <v>167</v>
      </c>
      <c r="E138" s="9" t="s">
        <v>173</v>
      </c>
      <c r="F138" s="9" t="s">
        <v>222</v>
      </c>
      <c r="G138" s="9" t="s">
        <v>227</v>
      </c>
      <c r="H138" s="9" t="s">
        <v>164</v>
      </c>
      <c r="I138" s="10">
        <f t="shared" ref="I138:I185" si="7">SUM(J138:L138)</f>
        <v>48000</v>
      </c>
      <c r="J138" s="15">
        <v>24000</v>
      </c>
      <c r="K138" s="15">
        <v>24000</v>
      </c>
      <c r="L138" s="41">
        <v>0</v>
      </c>
    </row>
    <row r="139" spans="1:12" s="50" customFormat="1" ht="15" customHeight="1">
      <c r="A139" s="6">
        <v>120</v>
      </c>
      <c r="B139" s="13" t="s">
        <v>86</v>
      </c>
      <c r="C139" s="9" t="s">
        <v>89</v>
      </c>
      <c r="D139" s="9" t="s">
        <v>162</v>
      </c>
      <c r="E139" s="9" t="s">
        <v>168</v>
      </c>
      <c r="F139" s="9" t="s">
        <v>229</v>
      </c>
      <c r="G139" s="9" t="s">
        <v>222</v>
      </c>
      <c r="H139" s="9" t="s">
        <v>164</v>
      </c>
      <c r="I139" s="10">
        <f t="shared" si="7"/>
        <v>2270000</v>
      </c>
      <c r="J139" s="10">
        <v>1702000</v>
      </c>
      <c r="K139" s="10">
        <v>284000</v>
      </c>
      <c r="L139" s="40">
        <v>284000</v>
      </c>
    </row>
    <row r="140" spans="1:12" s="50" customFormat="1" ht="15" customHeight="1">
      <c r="A140" s="6">
        <v>121</v>
      </c>
      <c r="B140" s="13" t="s">
        <v>86</v>
      </c>
      <c r="C140" s="9" t="s">
        <v>90</v>
      </c>
      <c r="D140" s="9" t="s">
        <v>167</v>
      </c>
      <c r="E140" s="9" t="s">
        <v>168</v>
      </c>
      <c r="F140" s="9" t="s">
        <v>229</v>
      </c>
      <c r="G140" s="9" t="s">
        <v>222</v>
      </c>
      <c r="H140" s="9" t="s">
        <v>164</v>
      </c>
      <c r="I140" s="10">
        <f t="shared" si="7"/>
        <v>478000</v>
      </c>
      <c r="J140" s="15">
        <v>0</v>
      </c>
      <c r="K140" s="15">
        <v>478000</v>
      </c>
      <c r="L140" s="41">
        <v>0</v>
      </c>
    </row>
    <row r="141" spans="1:12" s="50" customFormat="1" ht="15" customHeight="1">
      <c r="A141" s="6">
        <v>122</v>
      </c>
      <c r="B141" s="13" t="s">
        <v>86</v>
      </c>
      <c r="C141" s="9" t="s">
        <v>91</v>
      </c>
      <c r="D141" s="9" t="s">
        <v>162</v>
      </c>
      <c r="E141" s="9" t="s">
        <v>168</v>
      </c>
      <c r="F141" s="9" t="s">
        <v>229</v>
      </c>
      <c r="G141" s="9" t="s">
        <v>222</v>
      </c>
      <c r="H141" s="9" t="s">
        <v>164</v>
      </c>
      <c r="I141" s="10">
        <f t="shared" si="7"/>
        <v>510600</v>
      </c>
      <c r="J141" s="15">
        <v>0</v>
      </c>
      <c r="K141" s="15"/>
      <c r="L141" s="41">
        <v>510600</v>
      </c>
    </row>
    <row r="142" spans="1:12" s="50" customFormat="1" ht="15" customHeight="1">
      <c r="A142" s="6">
        <v>123</v>
      </c>
      <c r="B142" s="13" t="s">
        <v>86</v>
      </c>
      <c r="C142" s="9" t="s">
        <v>100</v>
      </c>
      <c r="D142" s="9" t="s">
        <v>167</v>
      </c>
      <c r="E142" s="9" t="s">
        <v>173</v>
      </c>
      <c r="F142" s="9" t="s">
        <v>222</v>
      </c>
      <c r="G142" s="9" t="s">
        <v>222</v>
      </c>
      <c r="H142" s="9" t="s">
        <v>164</v>
      </c>
      <c r="I142" s="10">
        <f t="shared" si="7"/>
        <v>4447000</v>
      </c>
      <c r="J142" s="15">
        <v>3557600</v>
      </c>
      <c r="K142" s="15">
        <v>889400</v>
      </c>
      <c r="L142" s="41">
        <v>0</v>
      </c>
    </row>
    <row r="143" spans="1:12" s="50" customFormat="1" ht="15" customHeight="1">
      <c r="A143" s="6">
        <v>124</v>
      </c>
      <c r="B143" s="13" t="s">
        <v>86</v>
      </c>
      <c r="C143" s="9" t="s">
        <v>102</v>
      </c>
      <c r="D143" s="9" t="s">
        <v>167</v>
      </c>
      <c r="E143" s="9" t="s">
        <v>173</v>
      </c>
      <c r="F143" s="9" t="s">
        <v>222</v>
      </c>
      <c r="G143" s="9" t="s">
        <v>223</v>
      </c>
      <c r="H143" s="9" t="s">
        <v>164</v>
      </c>
      <c r="I143" s="10">
        <f t="shared" si="7"/>
        <v>28425</v>
      </c>
      <c r="J143" s="15">
        <v>22740</v>
      </c>
      <c r="K143" s="15">
        <v>5685</v>
      </c>
      <c r="L143" s="41">
        <v>0</v>
      </c>
    </row>
    <row r="144" spans="1:12" s="50" customFormat="1" ht="15" customHeight="1">
      <c r="A144" s="6">
        <v>125</v>
      </c>
      <c r="B144" s="13" t="s">
        <v>86</v>
      </c>
      <c r="C144" s="9" t="s">
        <v>101</v>
      </c>
      <c r="D144" s="9" t="s">
        <v>167</v>
      </c>
      <c r="E144" s="9" t="s">
        <v>173</v>
      </c>
      <c r="F144" s="9" t="s">
        <v>222</v>
      </c>
      <c r="G144" s="9" t="s">
        <v>223</v>
      </c>
      <c r="H144" s="9" t="s">
        <v>164</v>
      </c>
      <c r="I144" s="10">
        <f t="shared" si="7"/>
        <v>226700</v>
      </c>
      <c r="J144" s="15"/>
      <c r="K144" s="15">
        <v>226700</v>
      </c>
      <c r="L144" s="41">
        <v>0</v>
      </c>
    </row>
    <row r="145" spans="1:12" s="50" customFormat="1" ht="15" customHeight="1">
      <c r="A145" s="6">
        <v>126</v>
      </c>
      <c r="B145" s="13" t="s">
        <v>86</v>
      </c>
      <c r="C145" s="9" t="s">
        <v>208</v>
      </c>
      <c r="D145" s="9" t="s">
        <v>167</v>
      </c>
      <c r="E145" s="9" t="s">
        <v>173</v>
      </c>
      <c r="F145" s="9" t="s">
        <v>222</v>
      </c>
      <c r="G145" s="9" t="s">
        <v>223</v>
      </c>
      <c r="H145" s="9" t="s">
        <v>164</v>
      </c>
      <c r="I145" s="10">
        <f t="shared" si="7"/>
        <v>500</v>
      </c>
      <c r="J145" s="15"/>
      <c r="K145" s="15">
        <v>500</v>
      </c>
      <c r="L145" s="41">
        <v>0</v>
      </c>
    </row>
    <row r="146" spans="1:12" ht="15" customHeight="1">
      <c r="A146" s="6">
        <v>127</v>
      </c>
      <c r="B146" s="13" t="s">
        <v>86</v>
      </c>
      <c r="C146" s="9" t="s">
        <v>95</v>
      </c>
      <c r="D146" s="9" t="s">
        <v>167</v>
      </c>
      <c r="E146" s="9" t="s">
        <v>173</v>
      </c>
      <c r="F146" s="17" t="s">
        <v>222</v>
      </c>
      <c r="G146" s="17" t="s">
        <v>227</v>
      </c>
      <c r="H146" s="9" t="s">
        <v>164</v>
      </c>
      <c r="I146" s="10">
        <f t="shared" si="7"/>
        <v>110000</v>
      </c>
      <c r="J146" s="15">
        <v>99000</v>
      </c>
      <c r="K146" s="15">
        <v>11000</v>
      </c>
      <c r="L146" s="41">
        <v>0</v>
      </c>
    </row>
    <row r="147" spans="1:12" ht="15" customHeight="1">
      <c r="A147" s="6">
        <v>128</v>
      </c>
      <c r="B147" s="13" t="s">
        <v>86</v>
      </c>
      <c r="C147" s="9" t="s">
        <v>96</v>
      </c>
      <c r="D147" s="9" t="s">
        <v>169</v>
      </c>
      <c r="E147" s="9" t="s">
        <v>173</v>
      </c>
      <c r="F147" s="17" t="s">
        <v>222</v>
      </c>
      <c r="G147" s="17" t="s">
        <v>223</v>
      </c>
      <c r="H147" s="9" t="s">
        <v>164</v>
      </c>
      <c r="I147" s="10">
        <f t="shared" si="7"/>
        <v>385437</v>
      </c>
      <c r="J147" s="15">
        <v>0</v>
      </c>
      <c r="K147" s="15">
        <v>385437</v>
      </c>
      <c r="L147" s="41">
        <v>0</v>
      </c>
    </row>
    <row r="148" spans="1:12" ht="15" customHeight="1">
      <c r="A148" s="6">
        <v>129</v>
      </c>
      <c r="B148" s="13" t="s">
        <v>86</v>
      </c>
      <c r="C148" s="9" t="s">
        <v>97</v>
      </c>
      <c r="D148" s="9" t="s">
        <v>167</v>
      </c>
      <c r="E148" s="9" t="s">
        <v>173</v>
      </c>
      <c r="F148" s="17" t="s">
        <v>222</v>
      </c>
      <c r="G148" s="17" t="s">
        <v>223</v>
      </c>
      <c r="H148" s="9" t="s">
        <v>164</v>
      </c>
      <c r="I148" s="10">
        <f t="shared" si="7"/>
        <v>30000</v>
      </c>
      <c r="J148" s="15">
        <v>0</v>
      </c>
      <c r="K148" s="15">
        <v>30000</v>
      </c>
      <c r="L148" s="41">
        <v>0</v>
      </c>
    </row>
    <row r="149" spans="1:12" ht="15" customHeight="1">
      <c r="A149" s="6">
        <v>130</v>
      </c>
      <c r="B149" s="13" t="s">
        <v>86</v>
      </c>
      <c r="C149" s="9" t="s">
        <v>98</v>
      </c>
      <c r="D149" s="9" t="s">
        <v>169</v>
      </c>
      <c r="E149" s="9" t="s">
        <v>168</v>
      </c>
      <c r="F149" s="17" t="s">
        <v>222</v>
      </c>
      <c r="G149" s="17" t="s">
        <v>223</v>
      </c>
      <c r="H149" s="9" t="s">
        <v>164</v>
      </c>
      <c r="I149" s="10">
        <f t="shared" si="7"/>
        <v>28500</v>
      </c>
      <c r="J149" s="15">
        <v>14250</v>
      </c>
      <c r="K149" s="15">
        <v>14250</v>
      </c>
      <c r="L149" s="41">
        <v>0</v>
      </c>
    </row>
    <row r="150" spans="1:12" ht="15" customHeight="1">
      <c r="A150" s="6">
        <v>131</v>
      </c>
      <c r="B150" s="13" t="s">
        <v>86</v>
      </c>
      <c r="C150" s="9" t="s">
        <v>99</v>
      </c>
      <c r="D150" s="9" t="s">
        <v>169</v>
      </c>
      <c r="E150" s="9" t="s">
        <v>173</v>
      </c>
      <c r="F150" s="17" t="s">
        <v>222</v>
      </c>
      <c r="G150" s="17" t="s">
        <v>223</v>
      </c>
      <c r="H150" s="9" t="s">
        <v>164</v>
      </c>
      <c r="I150" s="10">
        <f t="shared" si="7"/>
        <v>2900</v>
      </c>
      <c r="J150" s="15">
        <v>0</v>
      </c>
      <c r="K150" s="15">
        <v>2900</v>
      </c>
      <c r="L150" s="41">
        <v>0</v>
      </c>
    </row>
    <row r="151" spans="1:12" ht="15" customHeight="1">
      <c r="A151" s="6">
        <v>132</v>
      </c>
      <c r="B151" s="13" t="s">
        <v>86</v>
      </c>
      <c r="C151" s="9" t="s">
        <v>103</v>
      </c>
      <c r="D151" s="9" t="s">
        <v>167</v>
      </c>
      <c r="E151" s="9" t="s">
        <v>168</v>
      </c>
      <c r="F151" s="17" t="s">
        <v>224</v>
      </c>
      <c r="G151" s="17" t="s">
        <v>223</v>
      </c>
      <c r="H151" s="9" t="s">
        <v>164</v>
      </c>
      <c r="I151" s="10">
        <f t="shared" si="7"/>
        <v>78651</v>
      </c>
      <c r="J151" s="15">
        <v>55056</v>
      </c>
      <c r="K151" s="15">
        <v>23595</v>
      </c>
      <c r="L151" s="41">
        <v>0</v>
      </c>
    </row>
    <row r="152" spans="1:12" ht="15" customHeight="1">
      <c r="A152" s="6">
        <v>133</v>
      </c>
      <c r="B152" s="13" t="s">
        <v>86</v>
      </c>
      <c r="C152" s="9" t="s">
        <v>104</v>
      </c>
      <c r="D152" s="9" t="s">
        <v>169</v>
      </c>
      <c r="E152" s="9" t="s">
        <v>170</v>
      </c>
      <c r="F152" s="9" t="s">
        <v>222</v>
      </c>
      <c r="G152" s="9" t="s">
        <v>223</v>
      </c>
      <c r="H152" s="9" t="s">
        <v>171</v>
      </c>
      <c r="I152" s="10">
        <f t="shared" si="7"/>
        <v>11830</v>
      </c>
      <c r="J152" s="15">
        <v>11830</v>
      </c>
      <c r="K152" s="15"/>
      <c r="L152" s="41">
        <v>0</v>
      </c>
    </row>
    <row r="153" spans="1:12" ht="15" customHeight="1">
      <c r="A153" s="6">
        <v>134</v>
      </c>
      <c r="B153" s="13" t="s">
        <v>86</v>
      </c>
      <c r="C153" s="9" t="s">
        <v>105</v>
      </c>
      <c r="D153" s="9" t="s">
        <v>162</v>
      </c>
      <c r="E153" s="9" t="s">
        <v>165</v>
      </c>
      <c r="F153" s="20" t="s">
        <v>243</v>
      </c>
      <c r="G153" s="11" t="s">
        <v>244</v>
      </c>
      <c r="H153" s="9" t="s">
        <v>164</v>
      </c>
      <c r="I153" s="10">
        <f t="shared" si="7"/>
        <v>19804176</v>
      </c>
      <c r="J153" s="15">
        <v>14853132</v>
      </c>
      <c r="K153" s="15">
        <v>3465731</v>
      </c>
      <c r="L153" s="41">
        <v>1485313</v>
      </c>
    </row>
    <row r="154" spans="1:12" ht="15" customHeight="1">
      <c r="A154" s="6">
        <v>135</v>
      </c>
      <c r="B154" s="13" t="s">
        <v>86</v>
      </c>
      <c r="C154" s="9" t="s">
        <v>106</v>
      </c>
      <c r="D154" s="9" t="s">
        <v>162</v>
      </c>
      <c r="E154" s="9" t="s">
        <v>165</v>
      </c>
      <c r="F154" s="20" t="s">
        <v>243</v>
      </c>
      <c r="G154" s="11" t="s">
        <v>244</v>
      </c>
      <c r="H154" s="9" t="s">
        <v>164</v>
      </c>
      <c r="I154" s="10">
        <f t="shared" si="7"/>
        <v>9394786</v>
      </c>
      <c r="J154" s="15">
        <v>0</v>
      </c>
      <c r="K154" s="15">
        <v>9394786</v>
      </c>
      <c r="L154" s="41">
        <v>0</v>
      </c>
    </row>
    <row r="155" spans="1:12" ht="15" customHeight="1">
      <c r="A155" s="6">
        <v>136</v>
      </c>
      <c r="B155" s="13" t="s">
        <v>86</v>
      </c>
      <c r="C155" s="9" t="s">
        <v>107</v>
      </c>
      <c r="D155" s="9" t="s">
        <v>167</v>
      </c>
      <c r="E155" s="9" t="s">
        <v>165</v>
      </c>
      <c r="F155" s="20" t="s">
        <v>243</v>
      </c>
      <c r="G155" s="11" t="s">
        <v>244</v>
      </c>
      <c r="H155" s="9" t="s">
        <v>164</v>
      </c>
      <c r="I155" s="10">
        <f t="shared" si="7"/>
        <v>1164227</v>
      </c>
      <c r="J155" s="15">
        <v>873170</v>
      </c>
      <c r="K155" s="15">
        <v>203740</v>
      </c>
      <c r="L155" s="41">
        <v>87317</v>
      </c>
    </row>
    <row r="156" spans="1:12" ht="15" customHeight="1">
      <c r="A156" s="6">
        <v>137</v>
      </c>
      <c r="B156" s="7" t="s">
        <v>86</v>
      </c>
      <c r="C156" s="9" t="s">
        <v>209</v>
      </c>
      <c r="D156" s="9" t="s">
        <v>167</v>
      </c>
      <c r="E156" s="9" t="s">
        <v>173</v>
      </c>
      <c r="F156" s="20" t="s">
        <v>243</v>
      </c>
      <c r="G156" s="11" t="s">
        <v>244</v>
      </c>
      <c r="H156" s="9" t="s">
        <v>164</v>
      </c>
      <c r="I156" s="10">
        <f t="shared" si="7"/>
        <v>10592290</v>
      </c>
      <c r="J156" s="10">
        <v>7944217</v>
      </c>
      <c r="K156" s="10">
        <v>1853651</v>
      </c>
      <c r="L156" s="40">
        <v>794422</v>
      </c>
    </row>
    <row r="157" spans="1:12" ht="15" customHeight="1">
      <c r="A157" s="6">
        <v>138</v>
      </c>
      <c r="B157" s="13" t="s">
        <v>86</v>
      </c>
      <c r="C157" s="9" t="s">
        <v>108</v>
      </c>
      <c r="D157" s="9" t="s">
        <v>162</v>
      </c>
      <c r="E157" s="9" t="s">
        <v>165</v>
      </c>
      <c r="F157" s="20" t="s">
        <v>243</v>
      </c>
      <c r="G157" s="11" t="s">
        <v>244</v>
      </c>
      <c r="H157" s="9" t="s">
        <v>164</v>
      </c>
      <c r="I157" s="10">
        <f t="shared" si="7"/>
        <v>272172</v>
      </c>
      <c r="J157" s="15">
        <v>136086</v>
      </c>
      <c r="K157" s="15">
        <v>95260</v>
      </c>
      <c r="L157" s="41">
        <v>40826</v>
      </c>
    </row>
    <row r="158" spans="1:12" ht="15" customHeight="1">
      <c r="A158" s="6">
        <v>139</v>
      </c>
      <c r="B158" s="13" t="s">
        <v>86</v>
      </c>
      <c r="C158" s="9" t="s">
        <v>109</v>
      </c>
      <c r="D158" s="9" t="s">
        <v>162</v>
      </c>
      <c r="E158" s="9" t="s">
        <v>165</v>
      </c>
      <c r="F158" s="20" t="s">
        <v>243</v>
      </c>
      <c r="G158" s="11" t="s">
        <v>244</v>
      </c>
      <c r="H158" s="9" t="s">
        <v>164</v>
      </c>
      <c r="I158" s="10">
        <f t="shared" si="7"/>
        <v>93749</v>
      </c>
      <c r="J158" s="15">
        <v>56249</v>
      </c>
      <c r="K158" s="15">
        <v>26250</v>
      </c>
      <c r="L158" s="41">
        <v>11250</v>
      </c>
    </row>
    <row r="159" spans="1:12" ht="15" customHeight="1">
      <c r="A159" s="6">
        <v>140</v>
      </c>
      <c r="B159" s="13" t="s">
        <v>86</v>
      </c>
      <c r="C159" s="9" t="s">
        <v>110</v>
      </c>
      <c r="D159" s="9" t="s">
        <v>162</v>
      </c>
      <c r="E159" s="9" t="s">
        <v>165</v>
      </c>
      <c r="F159" s="20" t="s">
        <v>243</v>
      </c>
      <c r="G159" s="11" t="s">
        <v>244</v>
      </c>
      <c r="H159" s="9" t="s">
        <v>164</v>
      </c>
      <c r="I159" s="10">
        <f t="shared" si="7"/>
        <v>4800</v>
      </c>
      <c r="J159" s="15">
        <v>2880</v>
      </c>
      <c r="K159" s="15">
        <v>1344</v>
      </c>
      <c r="L159" s="41">
        <v>576</v>
      </c>
    </row>
    <row r="160" spans="1:12" ht="15" customHeight="1">
      <c r="A160" s="6">
        <v>141</v>
      </c>
      <c r="B160" s="13" t="s">
        <v>86</v>
      </c>
      <c r="C160" s="9" t="s">
        <v>111</v>
      </c>
      <c r="D160" s="9" t="s">
        <v>169</v>
      </c>
      <c r="E160" s="9" t="s">
        <v>165</v>
      </c>
      <c r="F160" s="20" t="s">
        <v>243</v>
      </c>
      <c r="G160" s="11" t="s">
        <v>244</v>
      </c>
      <c r="H160" s="9" t="s">
        <v>164</v>
      </c>
      <c r="I160" s="10">
        <f t="shared" si="7"/>
        <v>18000</v>
      </c>
      <c r="J160" s="15">
        <v>0</v>
      </c>
      <c r="K160" s="15">
        <v>18000</v>
      </c>
      <c r="L160" s="41">
        <v>0</v>
      </c>
    </row>
    <row r="161" spans="1:12" ht="15" customHeight="1">
      <c r="A161" s="6">
        <v>142</v>
      </c>
      <c r="B161" s="13" t="s">
        <v>86</v>
      </c>
      <c r="C161" s="9" t="s">
        <v>112</v>
      </c>
      <c r="D161" s="9" t="s">
        <v>169</v>
      </c>
      <c r="E161" s="9" t="s">
        <v>165</v>
      </c>
      <c r="F161" s="20" t="s">
        <v>243</v>
      </c>
      <c r="G161" s="11" t="s">
        <v>244</v>
      </c>
      <c r="H161" s="9" t="s">
        <v>164</v>
      </c>
      <c r="I161" s="10">
        <f t="shared" si="7"/>
        <v>72000</v>
      </c>
      <c r="J161" s="15">
        <v>0</v>
      </c>
      <c r="K161" s="15"/>
      <c r="L161" s="41">
        <v>72000</v>
      </c>
    </row>
    <row r="162" spans="1:12" ht="15" customHeight="1">
      <c r="A162" s="6">
        <v>143</v>
      </c>
      <c r="B162" s="13" t="s">
        <v>86</v>
      </c>
      <c r="C162" s="9" t="s">
        <v>113</v>
      </c>
      <c r="D162" s="9" t="s">
        <v>162</v>
      </c>
      <c r="E162" s="9" t="s">
        <v>165</v>
      </c>
      <c r="F162" s="20" t="s">
        <v>243</v>
      </c>
      <c r="G162" s="11" t="s">
        <v>244</v>
      </c>
      <c r="H162" s="9" t="s">
        <v>164</v>
      </c>
      <c r="I162" s="10">
        <f t="shared" si="7"/>
        <v>76850</v>
      </c>
      <c r="J162" s="15">
        <v>0</v>
      </c>
      <c r="K162" s="15">
        <v>76850</v>
      </c>
      <c r="L162" s="41">
        <v>0</v>
      </c>
    </row>
    <row r="163" spans="1:12" ht="15" customHeight="1">
      <c r="A163" s="6">
        <v>144</v>
      </c>
      <c r="B163" s="13" t="s">
        <v>86</v>
      </c>
      <c r="C163" s="9" t="s">
        <v>114</v>
      </c>
      <c r="D163" s="9" t="s">
        <v>169</v>
      </c>
      <c r="E163" s="9" t="s">
        <v>165</v>
      </c>
      <c r="F163" s="20" t="s">
        <v>243</v>
      </c>
      <c r="G163" s="11" t="s">
        <v>244</v>
      </c>
      <c r="H163" s="9" t="s">
        <v>164</v>
      </c>
      <c r="I163" s="10">
        <f t="shared" si="7"/>
        <v>800</v>
      </c>
      <c r="J163" s="15">
        <v>0</v>
      </c>
      <c r="K163" s="15">
        <v>800</v>
      </c>
      <c r="L163" s="41">
        <v>0</v>
      </c>
    </row>
    <row r="164" spans="1:12" ht="15" customHeight="1">
      <c r="A164" s="6">
        <v>145</v>
      </c>
      <c r="B164" s="13" t="s">
        <v>86</v>
      </c>
      <c r="C164" s="9" t="s">
        <v>115</v>
      </c>
      <c r="D164" s="9" t="s">
        <v>162</v>
      </c>
      <c r="E164" s="9" t="s">
        <v>165</v>
      </c>
      <c r="F164" s="20" t="s">
        <v>243</v>
      </c>
      <c r="G164" s="11" t="s">
        <v>244</v>
      </c>
      <c r="H164" s="9" t="s">
        <v>164</v>
      </c>
      <c r="I164" s="10">
        <f t="shared" si="7"/>
        <v>764075</v>
      </c>
      <c r="J164" s="15"/>
      <c r="K164" s="15">
        <v>672386</v>
      </c>
      <c r="L164" s="41">
        <v>91689</v>
      </c>
    </row>
    <row r="165" spans="1:12" ht="15" customHeight="1">
      <c r="A165" s="6">
        <v>146</v>
      </c>
      <c r="B165" s="13" t="s">
        <v>86</v>
      </c>
      <c r="C165" s="9" t="s">
        <v>116</v>
      </c>
      <c r="D165" s="9" t="s">
        <v>162</v>
      </c>
      <c r="E165" s="9" t="s">
        <v>165</v>
      </c>
      <c r="F165" s="19" t="s">
        <v>243</v>
      </c>
      <c r="G165" s="7" t="s">
        <v>244</v>
      </c>
      <c r="H165" s="9" t="s">
        <v>171</v>
      </c>
      <c r="I165" s="10">
        <f t="shared" si="7"/>
        <v>64800</v>
      </c>
      <c r="J165" s="15">
        <v>0</v>
      </c>
      <c r="K165" s="15">
        <v>64800</v>
      </c>
      <c r="L165" s="41">
        <v>0</v>
      </c>
    </row>
    <row r="166" spans="1:12" ht="15" customHeight="1">
      <c r="A166" s="6">
        <v>147</v>
      </c>
      <c r="B166" s="13" t="s">
        <v>86</v>
      </c>
      <c r="C166" s="9" t="s">
        <v>248</v>
      </c>
      <c r="D166" s="9" t="s">
        <v>162</v>
      </c>
      <c r="E166" s="9" t="s">
        <v>165</v>
      </c>
      <c r="F166" s="19" t="s">
        <v>243</v>
      </c>
      <c r="G166" s="7" t="s">
        <v>244</v>
      </c>
      <c r="H166" s="9" t="s">
        <v>171</v>
      </c>
      <c r="I166" s="10">
        <f t="shared" si="7"/>
        <v>10023670</v>
      </c>
      <c r="J166" s="15">
        <v>5895402</v>
      </c>
      <c r="K166" s="15">
        <v>2751188</v>
      </c>
      <c r="L166" s="41">
        <v>1377080</v>
      </c>
    </row>
    <row r="167" spans="1:12" ht="15" customHeight="1">
      <c r="A167" s="6">
        <v>148</v>
      </c>
      <c r="B167" s="13" t="s">
        <v>86</v>
      </c>
      <c r="C167" s="9" t="s">
        <v>117</v>
      </c>
      <c r="D167" s="9" t="s">
        <v>162</v>
      </c>
      <c r="E167" s="9" t="s">
        <v>165</v>
      </c>
      <c r="F167" s="19" t="s">
        <v>243</v>
      </c>
      <c r="G167" s="7" t="s">
        <v>244</v>
      </c>
      <c r="H167" s="9" t="s">
        <v>171</v>
      </c>
      <c r="I167" s="10">
        <f t="shared" si="7"/>
        <v>3728317</v>
      </c>
      <c r="J167" s="15">
        <v>2236990</v>
      </c>
      <c r="K167" s="15">
        <v>1043929</v>
      </c>
      <c r="L167" s="41">
        <v>447398</v>
      </c>
    </row>
    <row r="168" spans="1:12" ht="15" customHeight="1">
      <c r="A168" s="6">
        <v>149</v>
      </c>
      <c r="B168" s="13" t="s">
        <v>86</v>
      </c>
      <c r="C168" s="9" t="s">
        <v>118</v>
      </c>
      <c r="D168" s="9" t="s">
        <v>162</v>
      </c>
      <c r="E168" s="9" t="s">
        <v>165</v>
      </c>
      <c r="F168" s="19" t="s">
        <v>243</v>
      </c>
      <c r="G168" s="7" t="s">
        <v>244</v>
      </c>
      <c r="H168" s="9" t="s">
        <v>171</v>
      </c>
      <c r="I168" s="10">
        <f t="shared" si="7"/>
        <v>1849468</v>
      </c>
      <c r="J168" s="15">
        <v>1109681</v>
      </c>
      <c r="K168" s="15">
        <v>517851</v>
      </c>
      <c r="L168" s="41">
        <v>221936</v>
      </c>
    </row>
    <row r="169" spans="1:12" ht="15" customHeight="1">
      <c r="A169" s="6">
        <v>150</v>
      </c>
      <c r="B169" s="13" t="s">
        <v>86</v>
      </c>
      <c r="C169" s="9" t="s">
        <v>210</v>
      </c>
      <c r="D169" s="9" t="s">
        <v>162</v>
      </c>
      <c r="E169" s="9" t="s">
        <v>165</v>
      </c>
      <c r="F169" s="19" t="s">
        <v>243</v>
      </c>
      <c r="G169" s="7" t="s">
        <v>244</v>
      </c>
      <c r="H169" s="9" t="s">
        <v>171</v>
      </c>
      <c r="I169" s="10">
        <f t="shared" si="7"/>
        <v>23400</v>
      </c>
      <c r="J169" s="15">
        <v>0</v>
      </c>
      <c r="K169" s="15">
        <v>23400</v>
      </c>
      <c r="L169" s="41">
        <v>0</v>
      </c>
    </row>
    <row r="170" spans="1:12" ht="15" customHeight="1">
      <c r="A170" s="6">
        <v>151</v>
      </c>
      <c r="B170" s="13" t="s">
        <v>86</v>
      </c>
      <c r="C170" s="9" t="s">
        <v>119</v>
      </c>
      <c r="D170" s="9" t="s">
        <v>162</v>
      </c>
      <c r="E170" s="9" t="s">
        <v>165</v>
      </c>
      <c r="F170" s="19" t="s">
        <v>243</v>
      </c>
      <c r="G170" s="7" t="s">
        <v>244</v>
      </c>
      <c r="H170" s="9" t="s">
        <v>171</v>
      </c>
      <c r="I170" s="10">
        <f t="shared" si="7"/>
        <v>1104000</v>
      </c>
      <c r="J170" s="15">
        <v>0</v>
      </c>
      <c r="K170" s="15">
        <v>1104000</v>
      </c>
      <c r="L170" s="41">
        <v>0</v>
      </c>
    </row>
    <row r="171" spans="1:12" ht="15" customHeight="1">
      <c r="A171" s="6">
        <v>152</v>
      </c>
      <c r="B171" s="13" t="s">
        <v>86</v>
      </c>
      <c r="C171" s="9" t="s">
        <v>120</v>
      </c>
      <c r="D171" s="9" t="s">
        <v>162</v>
      </c>
      <c r="E171" s="9" t="s">
        <v>165</v>
      </c>
      <c r="F171" s="19" t="s">
        <v>243</v>
      </c>
      <c r="G171" s="7" t="s">
        <v>244</v>
      </c>
      <c r="H171" s="9" t="s">
        <v>171</v>
      </c>
      <c r="I171" s="10">
        <f t="shared" si="7"/>
        <v>67080</v>
      </c>
      <c r="J171" s="15">
        <v>0</v>
      </c>
      <c r="K171" s="15">
        <v>67080</v>
      </c>
      <c r="L171" s="41">
        <v>0</v>
      </c>
    </row>
    <row r="172" spans="1:12" ht="15" customHeight="1">
      <c r="A172" s="6">
        <v>153</v>
      </c>
      <c r="B172" s="13" t="s">
        <v>86</v>
      </c>
      <c r="C172" s="9" t="s">
        <v>121</v>
      </c>
      <c r="D172" s="9" t="s">
        <v>162</v>
      </c>
      <c r="E172" s="9" t="s">
        <v>165</v>
      </c>
      <c r="F172" s="20" t="s">
        <v>243</v>
      </c>
      <c r="G172" s="11" t="s">
        <v>244</v>
      </c>
      <c r="H172" s="9" t="s">
        <v>171</v>
      </c>
      <c r="I172" s="10">
        <f t="shared" si="7"/>
        <v>102000</v>
      </c>
      <c r="J172" s="15">
        <v>0</v>
      </c>
      <c r="K172" s="15">
        <v>102000</v>
      </c>
      <c r="L172" s="41">
        <v>0</v>
      </c>
    </row>
    <row r="173" spans="1:12" ht="15" customHeight="1">
      <c r="A173" s="6">
        <v>154</v>
      </c>
      <c r="B173" s="13" t="s">
        <v>86</v>
      </c>
      <c r="C173" s="9" t="s">
        <v>122</v>
      </c>
      <c r="D173" s="9" t="s">
        <v>162</v>
      </c>
      <c r="E173" s="9" t="s">
        <v>165</v>
      </c>
      <c r="F173" s="19" t="s">
        <v>243</v>
      </c>
      <c r="G173" s="7" t="s">
        <v>244</v>
      </c>
      <c r="H173" s="9" t="s">
        <v>171</v>
      </c>
      <c r="I173" s="10">
        <f t="shared" si="7"/>
        <v>15600</v>
      </c>
      <c r="J173" s="15">
        <v>0</v>
      </c>
      <c r="K173" s="15">
        <v>15600</v>
      </c>
      <c r="L173" s="41">
        <v>0</v>
      </c>
    </row>
    <row r="174" spans="1:12" ht="15" customHeight="1">
      <c r="A174" s="6">
        <v>155</v>
      </c>
      <c r="B174" s="13" t="s">
        <v>86</v>
      </c>
      <c r="C174" s="9" t="s">
        <v>123</v>
      </c>
      <c r="D174" s="9" t="s">
        <v>162</v>
      </c>
      <c r="E174" s="9" t="s">
        <v>165</v>
      </c>
      <c r="F174" s="19" t="s">
        <v>243</v>
      </c>
      <c r="G174" s="7" t="s">
        <v>244</v>
      </c>
      <c r="H174" s="9" t="s">
        <v>171</v>
      </c>
      <c r="I174" s="10">
        <f t="shared" si="7"/>
        <v>3600</v>
      </c>
      <c r="J174" s="15">
        <v>0</v>
      </c>
      <c r="K174" s="15">
        <v>3600</v>
      </c>
      <c r="L174" s="41">
        <v>0</v>
      </c>
    </row>
    <row r="175" spans="1:12" ht="15" customHeight="1">
      <c r="A175" s="6">
        <v>156</v>
      </c>
      <c r="B175" s="13" t="s">
        <v>86</v>
      </c>
      <c r="C175" s="9" t="s">
        <v>124</v>
      </c>
      <c r="D175" s="9" t="s">
        <v>162</v>
      </c>
      <c r="E175" s="9" t="s">
        <v>165</v>
      </c>
      <c r="F175" s="19" t="s">
        <v>243</v>
      </c>
      <c r="G175" s="7" t="s">
        <v>244</v>
      </c>
      <c r="H175" s="9" t="s">
        <v>171</v>
      </c>
      <c r="I175" s="10">
        <f t="shared" si="7"/>
        <v>4800</v>
      </c>
      <c r="J175" s="15">
        <v>0</v>
      </c>
      <c r="K175" s="15">
        <v>2400</v>
      </c>
      <c r="L175" s="41">
        <v>2400</v>
      </c>
    </row>
    <row r="176" spans="1:12" ht="15" customHeight="1">
      <c r="A176" s="6">
        <v>157</v>
      </c>
      <c r="B176" s="13" t="s">
        <v>86</v>
      </c>
      <c r="C176" s="9" t="s">
        <v>125</v>
      </c>
      <c r="D176" s="9" t="s">
        <v>162</v>
      </c>
      <c r="E176" s="9" t="s">
        <v>165</v>
      </c>
      <c r="F176" s="19" t="s">
        <v>243</v>
      </c>
      <c r="G176" s="7" t="s">
        <v>244</v>
      </c>
      <c r="H176" s="9" t="s">
        <v>171</v>
      </c>
      <c r="I176" s="10">
        <f t="shared" si="7"/>
        <v>8500</v>
      </c>
      <c r="J176" s="15">
        <v>4250</v>
      </c>
      <c r="K176" s="15">
        <v>2975</v>
      </c>
      <c r="L176" s="41">
        <v>1275</v>
      </c>
    </row>
    <row r="177" spans="1:12" ht="15" customHeight="1">
      <c r="A177" s="6">
        <v>158</v>
      </c>
      <c r="B177" s="13" t="s">
        <v>86</v>
      </c>
      <c r="C177" s="9" t="s">
        <v>211</v>
      </c>
      <c r="D177" s="9" t="s">
        <v>162</v>
      </c>
      <c r="E177" s="9" t="s">
        <v>165</v>
      </c>
      <c r="F177" s="20" t="s">
        <v>243</v>
      </c>
      <c r="G177" s="11" t="s">
        <v>244</v>
      </c>
      <c r="H177" s="9" t="s">
        <v>164</v>
      </c>
      <c r="I177" s="10">
        <f t="shared" si="7"/>
        <v>347020</v>
      </c>
      <c r="J177" s="15"/>
      <c r="K177" s="15">
        <v>347020</v>
      </c>
      <c r="L177" s="41"/>
    </row>
    <row r="178" spans="1:12" ht="15" customHeight="1">
      <c r="A178" s="6">
        <v>159</v>
      </c>
      <c r="B178" s="13" t="s">
        <v>86</v>
      </c>
      <c r="C178" s="9" t="s">
        <v>126</v>
      </c>
      <c r="D178" s="9" t="s">
        <v>162</v>
      </c>
      <c r="E178" s="9" t="s">
        <v>165</v>
      </c>
      <c r="F178" s="20" t="s">
        <v>243</v>
      </c>
      <c r="G178" s="11" t="s">
        <v>244</v>
      </c>
      <c r="H178" s="9" t="s">
        <v>164</v>
      </c>
      <c r="I178" s="10">
        <f t="shared" si="7"/>
        <v>234620</v>
      </c>
      <c r="J178" s="15">
        <v>0</v>
      </c>
      <c r="K178" s="15">
        <v>0</v>
      </c>
      <c r="L178" s="41">
        <v>234620</v>
      </c>
    </row>
    <row r="179" spans="1:12" ht="15" customHeight="1">
      <c r="A179" s="6">
        <v>160</v>
      </c>
      <c r="B179" s="13" t="s">
        <v>86</v>
      </c>
      <c r="C179" s="9" t="s">
        <v>127</v>
      </c>
      <c r="D179" s="9" t="s">
        <v>167</v>
      </c>
      <c r="E179" s="9" t="s">
        <v>165</v>
      </c>
      <c r="F179" s="19" t="s">
        <v>243</v>
      </c>
      <c r="G179" s="7" t="s">
        <v>244</v>
      </c>
      <c r="H179" s="9" t="s">
        <v>171</v>
      </c>
      <c r="I179" s="10">
        <f t="shared" si="7"/>
        <v>57900</v>
      </c>
      <c r="J179" s="15">
        <v>0</v>
      </c>
      <c r="K179" s="15">
        <v>0</v>
      </c>
      <c r="L179" s="41">
        <v>57900</v>
      </c>
    </row>
    <row r="180" spans="1:12" ht="15" customHeight="1">
      <c r="A180" s="6">
        <v>161</v>
      </c>
      <c r="B180" s="13" t="s">
        <v>86</v>
      </c>
      <c r="C180" s="9" t="s">
        <v>128</v>
      </c>
      <c r="D180" s="9" t="s">
        <v>162</v>
      </c>
      <c r="E180" s="9" t="s">
        <v>165</v>
      </c>
      <c r="F180" s="20" t="s">
        <v>243</v>
      </c>
      <c r="G180" s="11" t="s">
        <v>244</v>
      </c>
      <c r="H180" s="9" t="s">
        <v>164</v>
      </c>
      <c r="I180" s="10">
        <f t="shared" si="7"/>
        <v>1438508</v>
      </c>
      <c r="J180" s="15">
        <v>0</v>
      </c>
      <c r="K180" s="15">
        <v>1438508</v>
      </c>
      <c r="L180" s="41">
        <v>0</v>
      </c>
    </row>
    <row r="181" spans="1:12" ht="15" customHeight="1">
      <c r="A181" s="6">
        <v>162</v>
      </c>
      <c r="B181" s="13" t="s">
        <v>86</v>
      </c>
      <c r="C181" s="9" t="s">
        <v>129</v>
      </c>
      <c r="D181" s="9" t="s">
        <v>169</v>
      </c>
      <c r="E181" s="9" t="s">
        <v>165</v>
      </c>
      <c r="F181" s="20" t="s">
        <v>243</v>
      </c>
      <c r="G181" s="11" t="s">
        <v>244</v>
      </c>
      <c r="H181" s="9" t="s">
        <v>164</v>
      </c>
      <c r="I181" s="10">
        <f t="shared" si="7"/>
        <v>820</v>
      </c>
      <c r="J181" s="15">
        <v>0</v>
      </c>
      <c r="K181" s="15">
        <v>820</v>
      </c>
      <c r="L181" s="41">
        <v>0</v>
      </c>
    </row>
    <row r="182" spans="1:12" s="47" customFormat="1" ht="15" customHeight="1">
      <c r="A182" s="6">
        <v>163</v>
      </c>
      <c r="B182" s="7" t="s">
        <v>86</v>
      </c>
      <c r="C182" s="9" t="s">
        <v>212</v>
      </c>
      <c r="D182" s="9" t="s">
        <v>167</v>
      </c>
      <c r="E182" s="9" t="s">
        <v>165</v>
      </c>
      <c r="F182" s="19" t="s">
        <v>243</v>
      </c>
      <c r="G182" s="7" t="s">
        <v>244</v>
      </c>
      <c r="H182" s="9" t="s">
        <v>164</v>
      </c>
      <c r="I182" s="10">
        <f t="shared" si="7"/>
        <v>479160</v>
      </c>
      <c r="J182" s="10"/>
      <c r="K182" s="10">
        <v>335412</v>
      </c>
      <c r="L182" s="48">
        <v>143748</v>
      </c>
    </row>
    <row r="183" spans="1:12" s="47" customFormat="1" ht="15" customHeight="1">
      <c r="A183" s="6">
        <v>164</v>
      </c>
      <c r="B183" s="7" t="s">
        <v>86</v>
      </c>
      <c r="C183" s="9" t="s">
        <v>213</v>
      </c>
      <c r="D183" s="9" t="s">
        <v>169</v>
      </c>
      <c r="E183" s="9" t="s">
        <v>165</v>
      </c>
      <c r="F183" s="19" t="s">
        <v>243</v>
      </c>
      <c r="G183" s="7" t="s">
        <v>244</v>
      </c>
      <c r="H183" s="9" t="s">
        <v>164</v>
      </c>
      <c r="I183" s="10">
        <f t="shared" si="7"/>
        <v>48534</v>
      </c>
      <c r="J183" s="23"/>
      <c r="K183" s="23">
        <v>0</v>
      </c>
      <c r="L183" s="48">
        <v>48534</v>
      </c>
    </row>
    <row r="184" spans="1:12" s="47" customFormat="1" ht="15" customHeight="1">
      <c r="A184" s="6">
        <v>165</v>
      </c>
      <c r="B184" s="7" t="s">
        <v>86</v>
      </c>
      <c r="C184" s="9" t="s">
        <v>214</v>
      </c>
      <c r="D184" s="9" t="s">
        <v>172</v>
      </c>
      <c r="E184" s="9" t="s">
        <v>165</v>
      </c>
      <c r="F184" s="9" t="s">
        <v>222</v>
      </c>
      <c r="G184" s="9" t="s">
        <v>222</v>
      </c>
      <c r="H184" s="9" t="s">
        <v>164</v>
      </c>
      <c r="I184" s="10">
        <f t="shared" si="7"/>
        <v>3000</v>
      </c>
      <c r="J184" s="23">
        <v>3000</v>
      </c>
      <c r="K184" s="23"/>
      <c r="L184" s="42"/>
    </row>
    <row r="185" spans="1:12" s="47" customFormat="1" ht="15" customHeight="1">
      <c r="A185" s="6">
        <v>166</v>
      </c>
      <c r="B185" s="7" t="s">
        <v>86</v>
      </c>
      <c r="C185" s="9" t="s">
        <v>215</v>
      </c>
      <c r="D185" s="9" t="s">
        <v>167</v>
      </c>
      <c r="E185" s="9" t="s">
        <v>165</v>
      </c>
      <c r="F185" s="9" t="s">
        <v>222</v>
      </c>
      <c r="G185" s="9" t="s">
        <v>222</v>
      </c>
      <c r="H185" s="9" t="s">
        <v>164</v>
      </c>
      <c r="I185" s="10">
        <f t="shared" si="7"/>
        <v>3000</v>
      </c>
      <c r="J185" s="23">
        <v>3000</v>
      </c>
      <c r="K185" s="23"/>
      <c r="L185" s="42"/>
    </row>
    <row r="186" spans="1:12" ht="15" customHeight="1">
      <c r="A186" s="2"/>
      <c r="B186" s="3" t="s">
        <v>174</v>
      </c>
      <c r="C186" s="4"/>
      <c r="D186" s="4"/>
      <c r="E186" s="4"/>
      <c r="F186" s="4"/>
      <c r="G186" s="4"/>
      <c r="H186" s="4"/>
      <c r="I186" s="5">
        <f>SUM(I187:I187)</f>
        <v>2047455</v>
      </c>
      <c r="J186" s="5">
        <f>SUM(J187:J187)</f>
        <v>1433219</v>
      </c>
      <c r="K186" s="5">
        <f>SUM(K187:K187)</f>
        <v>307118</v>
      </c>
      <c r="L186" s="39">
        <f>SUM(L187:L187)</f>
        <v>307118</v>
      </c>
    </row>
    <row r="187" spans="1:12" ht="15" customHeight="1">
      <c r="A187" s="6">
        <v>167</v>
      </c>
      <c r="B187" s="7" t="s">
        <v>174</v>
      </c>
      <c r="C187" s="9" t="s">
        <v>175</v>
      </c>
      <c r="D187" s="9" t="s">
        <v>162</v>
      </c>
      <c r="E187" s="9" t="s">
        <v>168</v>
      </c>
      <c r="F187" s="9" t="s">
        <v>222</v>
      </c>
      <c r="G187" s="9" t="s">
        <v>223</v>
      </c>
      <c r="H187" s="9" t="s">
        <v>164</v>
      </c>
      <c r="I187" s="10">
        <f>SUM(J187:L187)</f>
        <v>2047455</v>
      </c>
      <c r="J187" s="10">
        <v>1433219</v>
      </c>
      <c r="K187" s="10">
        <v>307118</v>
      </c>
      <c r="L187" s="40">
        <v>307118</v>
      </c>
    </row>
    <row r="188" spans="1:12" ht="15" customHeight="1">
      <c r="A188" s="2"/>
      <c r="B188" s="3" t="s">
        <v>130</v>
      </c>
      <c r="C188" s="4"/>
      <c r="D188" s="18"/>
      <c r="E188" s="18"/>
      <c r="F188" s="18"/>
      <c r="G188" s="18"/>
      <c r="H188" s="18"/>
      <c r="I188" s="5">
        <f>SUM(I189:I194)</f>
        <v>2282356</v>
      </c>
      <c r="J188" s="5">
        <f>SUM(J189:J194)</f>
        <v>0</v>
      </c>
      <c r="K188" s="5">
        <f>SUM(K189:K194)</f>
        <v>476117</v>
      </c>
      <c r="L188" s="39">
        <f>SUM(L189:L194)</f>
        <v>1806239</v>
      </c>
    </row>
    <row r="189" spans="1:12" s="47" customFormat="1" ht="15" customHeight="1">
      <c r="A189" s="6">
        <v>168</v>
      </c>
      <c r="B189" s="7" t="s">
        <v>130</v>
      </c>
      <c r="C189" s="9" t="s">
        <v>268</v>
      </c>
      <c r="D189" s="9" t="s">
        <v>169</v>
      </c>
      <c r="E189" s="9" t="s">
        <v>170</v>
      </c>
      <c r="F189" s="9" t="s">
        <v>222</v>
      </c>
      <c r="G189" s="9" t="s">
        <v>222</v>
      </c>
      <c r="H189" s="9" t="s">
        <v>164</v>
      </c>
      <c r="I189" s="10">
        <f t="shared" ref="I189:I194" si="8">SUM(J189:L189)</f>
        <v>15000</v>
      </c>
      <c r="J189" s="10"/>
      <c r="K189" s="10">
        <v>15000</v>
      </c>
      <c r="L189" s="40"/>
    </row>
    <row r="190" spans="1:12" s="47" customFormat="1" ht="15" customHeight="1">
      <c r="A190" s="6">
        <v>169</v>
      </c>
      <c r="B190" s="7" t="s">
        <v>130</v>
      </c>
      <c r="C190" s="9" t="s">
        <v>269</v>
      </c>
      <c r="D190" s="9" t="s">
        <v>169</v>
      </c>
      <c r="E190" s="9" t="s">
        <v>170</v>
      </c>
      <c r="F190" s="9" t="s">
        <v>222</v>
      </c>
      <c r="G190" s="9" t="s">
        <v>222</v>
      </c>
      <c r="H190" s="9" t="s">
        <v>164</v>
      </c>
      <c r="I190" s="10">
        <f t="shared" si="8"/>
        <v>42500</v>
      </c>
      <c r="J190" s="10"/>
      <c r="K190" s="10">
        <v>42500</v>
      </c>
      <c r="L190" s="40"/>
    </row>
    <row r="191" spans="1:12" s="47" customFormat="1" ht="15" customHeight="1">
      <c r="A191" s="6">
        <v>170</v>
      </c>
      <c r="B191" s="7" t="s">
        <v>130</v>
      </c>
      <c r="C191" s="51" t="s">
        <v>216</v>
      </c>
      <c r="D191" s="9" t="s">
        <v>169</v>
      </c>
      <c r="E191" s="9" t="s">
        <v>170</v>
      </c>
      <c r="F191" s="9" t="s">
        <v>222</v>
      </c>
      <c r="G191" s="9" t="s">
        <v>222</v>
      </c>
      <c r="H191" s="9" t="s">
        <v>164</v>
      </c>
      <c r="I191" s="10">
        <f t="shared" si="8"/>
        <v>100000</v>
      </c>
      <c r="J191" s="10">
        <v>0</v>
      </c>
      <c r="K191" s="10">
        <v>0</v>
      </c>
      <c r="L191" s="40">
        <v>100000</v>
      </c>
    </row>
    <row r="192" spans="1:12" s="47" customFormat="1" ht="15" customHeight="1">
      <c r="A192" s="6">
        <v>171</v>
      </c>
      <c r="B192" s="7" t="s">
        <v>130</v>
      </c>
      <c r="C192" s="9" t="s">
        <v>131</v>
      </c>
      <c r="D192" s="9" t="s">
        <v>169</v>
      </c>
      <c r="E192" s="9" t="s">
        <v>170</v>
      </c>
      <c r="F192" s="9" t="s">
        <v>222</v>
      </c>
      <c r="G192" s="9" t="s">
        <v>222</v>
      </c>
      <c r="H192" s="9" t="s">
        <v>171</v>
      </c>
      <c r="I192" s="10">
        <f t="shared" si="8"/>
        <v>96153</v>
      </c>
      <c r="J192" s="10">
        <v>0</v>
      </c>
      <c r="K192" s="10">
        <v>0</v>
      </c>
      <c r="L192" s="40">
        <v>96153</v>
      </c>
    </row>
    <row r="193" spans="1:12" s="47" customFormat="1" ht="15" customHeight="1">
      <c r="A193" s="6">
        <v>172</v>
      </c>
      <c r="B193" s="7" t="s">
        <v>130</v>
      </c>
      <c r="C193" s="9" t="s">
        <v>217</v>
      </c>
      <c r="D193" s="9" t="s">
        <v>169</v>
      </c>
      <c r="E193" s="9" t="s">
        <v>170</v>
      </c>
      <c r="F193" s="9" t="s">
        <v>222</v>
      </c>
      <c r="G193" s="9" t="s">
        <v>222</v>
      </c>
      <c r="H193" s="9" t="s">
        <v>171</v>
      </c>
      <c r="I193" s="10">
        <f t="shared" si="8"/>
        <v>778916</v>
      </c>
      <c r="J193" s="10">
        <v>0</v>
      </c>
      <c r="K193" s="10">
        <v>80000</v>
      </c>
      <c r="L193" s="40">
        <v>698916</v>
      </c>
    </row>
    <row r="194" spans="1:12" s="1" customFormat="1" ht="15" customHeight="1">
      <c r="A194" s="6">
        <v>173</v>
      </c>
      <c r="B194" s="7" t="s">
        <v>130</v>
      </c>
      <c r="C194" s="8" t="s">
        <v>218</v>
      </c>
      <c r="D194" s="9" t="s">
        <v>169</v>
      </c>
      <c r="E194" s="9" t="s">
        <v>170</v>
      </c>
      <c r="F194" s="9" t="s">
        <v>222</v>
      </c>
      <c r="G194" s="9" t="s">
        <v>222</v>
      </c>
      <c r="H194" s="9" t="s">
        <v>171</v>
      </c>
      <c r="I194" s="10">
        <f t="shared" si="8"/>
        <v>1249787</v>
      </c>
      <c r="J194" s="10">
        <v>0</v>
      </c>
      <c r="K194" s="10">
        <v>338617</v>
      </c>
      <c r="L194" s="40">
        <v>911170</v>
      </c>
    </row>
    <row r="195" spans="1:12" ht="15" customHeight="1">
      <c r="A195" s="2"/>
      <c r="B195" s="3" t="s">
        <v>133</v>
      </c>
      <c r="C195" s="4"/>
      <c r="D195" s="18"/>
      <c r="E195" s="18"/>
      <c r="F195" s="18"/>
      <c r="G195" s="18"/>
      <c r="H195" s="18"/>
      <c r="I195" s="5">
        <f>SUM(I196)</f>
        <v>162000</v>
      </c>
      <c r="J195" s="5">
        <f>SUM(J196)</f>
        <v>0</v>
      </c>
      <c r="K195" s="5">
        <f>SUM(K196)</f>
        <v>0</v>
      </c>
      <c r="L195" s="39">
        <f>SUM(L196)</f>
        <v>162000</v>
      </c>
    </row>
    <row r="196" spans="1:12" ht="15" customHeight="1">
      <c r="A196" s="12">
        <v>174</v>
      </c>
      <c r="B196" s="13" t="s">
        <v>133</v>
      </c>
      <c r="C196" s="8" t="s">
        <v>132</v>
      </c>
      <c r="D196" s="9" t="s">
        <v>169</v>
      </c>
      <c r="E196" s="9" t="s">
        <v>166</v>
      </c>
      <c r="F196" s="9" t="s">
        <v>222</v>
      </c>
      <c r="G196" s="9" t="s">
        <v>222</v>
      </c>
      <c r="H196" s="9" t="s">
        <v>164</v>
      </c>
      <c r="I196" s="10">
        <f>SUM(J196:L196)</f>
        <v>162000</v>
      </c>
      <c r="J196" s="15">
        <v>0</v>
      </c>
      <c r="K196" s="15">
        <v>0</v>
      </c>
      <c r="L196" s="41">
        <v>162000</v>
      </c>
    </row>
    <row r="197" spans="1:12" ht="15" customHeight="1">
      <c r="A197" s="2"/>
      <c r="B197" s="3" t="s">
        <v>134</v>
      </c>
      <c r="C197" s="4"/>
      <c r="D197" s="18"/>
      <c r="E197" s="18"/>
      <c r="F197" s="18"/>
      <c r="G197" s="18"/>
      <c r="H197" s="18"/>
      <c r="I197" s="5">
        <f>SUM(I198:I199)</f>
        <v>1647337</v>
      </c>
      <c r="J197" s="5">
        <f>SUM(J198:J199)</f>
        <v>0</v>
      </c>
      <c r="K197" s="5">
        <f>SUM(K198:K199)</f>
        <v>90000</v>
      </c>
      <c r="L197" s="39">
        <f>SUM(L198:L199)</f>
        <v>1557337</v>
      </c>
    </row>
    <row r="198" spans="1:12" s="50" customFormat="1" ht="15" customHeight="1">
      <c r="A198" s="6">
        <v>175</v>
      </c>
      <c r="B198" s="7" t="s">
        <v>134</v>
      </c>
      <c r="C198" s="9" t="s">
        <v>188</v>
      </c>
      <c r="D198" s="9" t="s">
        <v>162</v>
      </c>
      <c r="E198" s="9" t="s">
        <v>166</v>
      </c>
      <c r="F198" s="9" t="s">
        <v>222</v>
      </c>
      <c r="G198" s="9" t="s">
        <v>222</v>
      </c>
      <c r="H198" s="9" t="s">
        <v>164</v>
      </c>
      <c r="I198" s="10">
        <f>SUM(J198:L198)</f>
        <v>1147337</v>
      </c>
      <c r="J198" s="10">
        <v>0</v>
      </c>
      <c r="K198" s="10">
        <v>90000</v>
      </c>
      <c r="L198" s="40">
        <v>1057337</v>
      </c>
    </row>
    <row r="199" spans="1:12" s="47" customFormat="1" ht="15" customHeight="1">
      <c r="A199" s="6">
        <v>176</v>
      </c>
      <c r="B199" s="7" t="s">
        <v>134</v>
      </c>
      <c r="C199" s="9" t="s">
        <v>189</v>
      </c>
      <c r="D199" s="9" t="s">
        <v>169</v>
      </c>
      <c r="E199" s="9" t="s">
        <v>170</v>
      </c>
      <c r="F199" s="9" t="s">
        <v>228</v>
      </c>
      <c r="G199" s="9" t="s">
        <v>222</v>
      </c>
      <c r="H199" s="9" t="s">
        <v>164</v>
      </c>
      <c r="I199" s="10">
        <f>SUM(J199:L199)</f>
        <v>500000</v>
      </c>
      <c r="J199" s="10">
        <v>0</v>
      </c>
      <c r="K199" s="10">
        <v>0</v>
      </c>
      <c r="L199" s="48">
        <v>500000</v>
      </c>
    </row>
    <row r="200" spans="1:12" ht="15" customHeight="1">
      <c r="A200" s="2"/>
      <c r="B200" s="3" t="s">
        <v>157</v>
      </c>
      <c r="C200" s="4"/>
      <c r="D200" s="18"/>
      <c r="E200" s="18"/>
      <c r="F200" s="18"/>
      <c r="G200" s="18"/>
      <c r="H200" s="18"/>
      <c r="I200" s="5">
        <f>SUM(I201:I202)</f>
        <v>4339440</v>
      </c>
      <c r="J200" s="5">
        <f>SUM(J201:J202)</f>
        <v>2080000</v>
      </c>
      <c r="K200" s="5">
        <f>SUM(K201:K202)</f>
        <v>1129720</v>
      </c>
      <c r="L200" s="39">
        <f>SUM(L201:L202)</f>
        <v>1129720</v>
      </c>
    </row>
    <row r="201" spans="1:12" ht="15" customHeight="1">
      <c r="A201" s="12">
        <v>177</v>
      </c>
      <c r="B201" s="13" t="s">
        <v>157</v>
      </c>
      <c r="C201" s="9" t="s">
        <v>135</v>
      </c>
      <c r="D201" s="9" t="s">
        <v>167</v>
      </c>
      <c r="E201" s="9" t="s">
        <v>168</v>
      </c>
      <c r="F201" s="9" t="s">
        <v>224</v>
      </c>
      <c r="G201" s="9" t="s">
        <v>222</v>
      </c>
      <c r="H201" s="9" t="s">
        <v>164</v>
      </c>
      <c r="I201" s="10">
        <f>SUM(J201:L201)</f>
        <v>4160000</v>
      </c>
      <c r="J201" s="15">
        <v>2080000</v>
      </c>
      <c r="K201" s="15">
        <v>1040000</v>
      </c>
      <c r="L201" s="41">
        <v>1040000</v>
      </c>
    </row>
    <row r="202" spans="1:12" ht="15" customHeight="1">
      <c r="A202" s="12">
        <v>178</v>
      </c>
      <c r="B202" s="13" t="s">
        <v>157</v>
      </c>
      <c r="C202" s="9" t="s">
        <v>136</v>
      </c>
      <c r="D202" s="9" t="s">
        <v>167</v>
      </c>
      <c r="E202" s="9" t="s">
        <v>168</v>
      </c>
      <c r="F202" s="9" t="s">
        <v>224</v>
      </c>
      <c r="G202" s="9" t="s">
        <v>222</v>
      </c>
      <c r="H202" s="9" t="s">
        <v>164</v>
      </c>
      <c r="I202" s="10">
        <f>SUM(J202:L202)</f>
        <v>179440</v>
      </c>
      <c r="J202" s="15">
        <v>0</v>
      </c>
      <c r="K202" s="15">
        <v>89720</v>
      </c>
      <c r="L202" s="41">
        <v>89720</v>
      </c>
    </row>
    <row r="203" spans="1:12" ht="15" customHeight="1">
      <c r="A203" s="2"/>
      <c r="B203" s="3" t="s">
        <v>158</v>
      </c>
      <c r="C203" s="4"/>
      <c r="D203" s="18"/>
      <c r="E203" s="18"/>
      <c r="F203" s="18"/>
      <c r="G203" s="18"/>
      <c r="H203" s="18"/>
      <c r="I203" s="5">
        <f>SUM(I204:I221)</f>
        <v>2292828</v>
      </c>
      <c r="J203" s="5">
        <f>SUM(J204:J221)</f>
        <v>553843</v>
      </c>
      <c r="K203" s="5">
        <f>SUM(K204:K221)</f>
        <v>1116279</v>
      </c>
      <c r="L203" s="39">
        <f>SUM(L204:L221)</f>
        <v>622706</v>
      </c>
    </row>
    <row r="204" spans="1:12" s="1" customFormat="1" ht="15" customHeight="1">
      <c r="A204" s="12">
        <v>179</v>
      </c>
      <c r="B204" s="13" t="s">
        <v>158</v>
      </c>
      <c r="C204" s="9" t="s">
        <v>138</v>
      </c>
      <c r="D204" s="9" t="s">
        <v>169</v>
      </c>
      <c r="E204" s="9" t="s">
        <v>168</v>
      </c>
      <c r="F204" s="9" t="s">
        <v>222</v>
      </c>
      <c r="G204" s="9" t="s">
        <v>222</v>
      </c>
      <c r="H204" s="9" t="s">
        <v>164</v>
      </c>
      <c r="I204" s="10">
        <f t="shared" ref="I204:I221" si="9">SUM(J204:L204)</f>
        <v>321802</v>
      </c>
      <c r="J204" s="15">
        <v>160901</v>
      </c>
      <c r="K204" s="15">
        <v>80450</v>
      </c>
      <c r="L204" s="41">
        <v>80451</v>
      </c>
    </row>
    <row r="205" spans="1:12" s="47" customFormat="1" ht="15" customHeight="1">
      <c r="A205" s="6">
        <v>180</v>
      </c>
      <c r="B205" s="7" t="s">
        <v>158</v>
      </c>
      <c r="C205" s="9" t="s">
        <v>219</v>
      </c>
      <c r="D205" s="9" t="s">
        <v>167</v>
      </c>
      <c r="E205" s="9" t="s">
        <v>168</v>
      </c>
      <c r="F205" s="9" t="s">
        <v>222</v>
      </c>
      <c r="G205" s="9" t="s">
        <v>222</v>
      </c>
      <c r="H205" s="9" t="s">
        <v>164</v>
      </c>
      <c r="I205" s="10">
        <f t="shared" si="9"/>
        <v>189552</v>
      </c>
      <c r="J205" s="10">
        <v>94776</v>
      </c>
      <c r="K205" s="10">
        <v>47388</v>
      </c>
      <c r="L205" s="40">
        <v>47388</v>
      </c>
    </row>
    <row r="206" spans="1:12" s="47" customFormat="1" ht="15" customHeight="1">
      <c r="A206" s="6">
        <v>181</v>
      </c>
      <c r="B206" s="7" t="s">
        <v>158</v>
      </c>
      <c r="C206" s="9" t="s">
        <v>258</v>
      </c>
      <c r="D206" s="9" t="s">
        <v>162</v>
      </c>
      <c r="E206" s="9" t="s">
        <v>168</v>
      </c>
      <c r="F206" s="9" t="s">
        <v>222</v>
      </c>
      <c r="G206" s="9" t="s">
        <v>222</v>
      </c>
      <c r="H206" s="9" t="s">
        <v>164</v>
      </c>
      <c r="I206" s="10">
        <f t="shared" si="9"/>
        <v>420000</v>
      </c>
      <c r="J206" s="10"/>
      <c r="K206" s="10">
        <v>210000</v>
      </c>
      <c r="L206" s="40">
        <v>210000</v>
      </c>
    </row>
    <row r="207" spans="1:12" s="47" customFormat="1" ht="15" customHeight="1">
      <c r="A207" s="6">
        <v>182</v>
      </c>
      <c r="B207" s="7" t="s">
        <v>158</v>
      </c>
      <c r="C207" s="9" t="s">
        <v>139</v>
      </c>
      <c r="D207" s="9" t="s">
        <v>167</v>
      </c>
      <c r="E207" s="9" t="s">
        <v>168</v>
      </c>
      <c r="F207" s="9" t="s">
        <v>229</v>
      </c>
      <c r="G207" s="9" t="s">
        <v>222</v>
      </c>
      <c r="H207" s="9" t="s">
        <v>164</v>
      </c>
      <c r="I207" s="10">
        <f t="shared" si="9"/>
        <v>694179</v>
      </c>
      <c r="J207" s="10">
        <v>0</v>
      </c>
      <c r="K207" s="10">
        <v>590052</v>
      </c>
      <c r="L207" s="40">
        <v>104127</v>
      </c>
    </row>
    <row r="208" spans="1:12" s="47" customFormat="1" ht="15" customHeight="1">
      <c r="A208" s="6">
        <v>183</v>
      </c>
      <c r="B208" s="7" t="s">
        <v>158</v>
      </c>
      <c r="C208" s="9" t="s">
        <v>259</v>
      </c>
      <c r="D208" s="9" t="s">
        <v>167</v>
      </c>
      <c r="E208" s="9" t="s">
        <v>168</v>
      </c>
      <c r="F208" s="9" t="s">
        <v>229</v>
      </c>
      <c r="G208" s="9" t="s">
        <v>222</v>
      </c>
      <c r="H208" s="9" t="s">
        <v>164</v>
      </c>
      <c r="I208" s="10">
        <f t="shared" si="9"/>
        <v>60000</v>
      </c>
      <c r="J208" s="10"/>
      <c r="K208" s="10">
        <v>30000</v>
      </c>
      <c r="L208" s="40">
        <v>30000</v>
      </c>
    </row>
    <row r="209" spans="1:12" s="47" customFormat="1" ht="15" customHeight="1">
      <c r="A209" s="6">
        <v>184</v>
      </c>
      <c r="B209" s="7" t="s">
        <v>158</v>
      </c>
      <c r="C209" s="9" t="s">
        <v>140</v>
      </c>
      <c r="D209" s="9" t="s">
        <v>167</v>
      </c>
      <c r="E209" s="9" t="s">
        <v>168</v>
      </c>
      <c r="F209" s="9" t="s">
        <v>229</v>
      </c>
      <c r="G209" s="9" t="s">
        <v>222</v>
      </c>
      <c r="H209" s="9" t="s">
        <v>164</v>
      </c>
      <c r="I209" s="10">
        <f t="shared" si="9"/>
        <v>34000</v>
      </c>
      <c r="J209" s="10">
        <v>17000</v>
      </c>
      <c r="K209" s="10">
        <v>8500</v>
      </c>
      <c r="L209" s="40">
        <v>8500</v>
      </c>
    </row>
    <row r="210" spans="1:12" s="1" customFormat="1" ht="15" customHeight="1">
      <c r="A210" s="12">
        <v>185</v>
      </c>
      <c r="B210" s="13" t="s">
        <v>158</v>
      </c>
      <c r="C210" s="9" t="s">
        <v>141</v>
      </c>
      <c r="D210" s="9" t="s">
        <v>167</v>
      </c>
      <c r="E210" s="9" t="s">
        <v>168</v>
      </c>
      <c r="F210" s="9" t="s">
        <v>229</v>
      </c>
      <c r="G210" s="17" t="s">
        <v>222</v>
      </c>
      <c r="H210" s="9" t="s">
        <v>164</v>
      </c>
      <c r="I210" s="10">
        <f t="shared" si="9"/>
        <v>4000</v>
      </c>
      <c r="J210" s="10">
        <v>2000</v>
      </c>
      <c r="K210" s="10">
        <v>1000</v>
      </c>
      <c r="L210" s="40">
        <v>1000</v>
      </c>
    </row>
    <row r="211" spans="1:12" s="1" customFormat="1" ht="15" customHeight="1">
      <c r="A211" s="12">
        <v>186</v>
      </c>
      <c r="B211" s="13" t="s">
        <v>158</v>
      </c>
      <c r="C211" s="9" t="s">
        <v>142</v>
      </c>
      <c r="D211" s="9" t="s">
        <v>167</v>
      </c>
      <c r="E211" s="9" t="s">
        <v>168</v>
      </c>
      <c r="F211" s="9" t="s">
        <v>229</v>
      </c>
      <c r="G211" s="17" t="s">
        <v>222</v>
      </c>
      <c r="H211" s="9" t="s">
        <v>171</v>
      </c>
      <c r="I211" s="10">
        <f t="shared" si="9"/>
        <v>2220</v>
      </c>
      <c r="J211" s="15">
        <v>0</v>
      </c>
      <c r="K211" s="15">
        <v>0</v>
      </c>
      <c r="L211" s="41">
        <v>2220</v>
      </c>
    </row>
    <row r="212" spans="1:12" s="1" customFormat="1" ht="15" customHeight="1">
      <c r="A212" s="12">
        <v>187</v>
      </c>
      <c r="B212" s="13" t="s">
        <v>158</v>
      </c>
      <c r="C212" s="9" t="s">
        <v>143</v>
      </c>
      <c r="D212" s="9" t="s">
        <v>167</v>
      </c>
      <c r="E212" s="9" t="s">
        <v>168</v>
      </c>
      <c r="F212" s="9" t="s">
        <v>229</v>
      </c>
      <c r="G212" s="9" t="s">
        <v>222</v>
      </c>
      <c r="H212" s="9" t="s">
        <v>164</v>
      </c>
      <c r="I212" s="10">
        <f t="shared" si="9"/>
        <v>2360</v>
      </c>
      <c r="J212" s="10">
        <v>1180</v>
      </c>
      <c r="K212" s="10">
        <v>590</v>
      </c>
      <c r="L212" s="40">
        <v>590</v>
      </c>
    </row>
    <row r="213" spans="1:12" s="1" customFormat="1" ht="15" customHeight="1">
      <c r="A213" s="12">
        <v>188</v>
      </c>
      <c r="B213" s="13" t="s">
        <v>158</v>
      </c>
      <c r="C213" s="9" t="s">
        <v>144</v>
      </c>
      <c r="D213" s="9" t="s">
        <v>167</v>
      </c>
      <c r="E213" s="9" t="s">
        <v>168</v>
      </c>
      <c r="F213" s="9" t="s">
        <v>222</v>
      </c>
      <c r="G213" s="9" t="s">
        <v>222</v>
      </c>
      <c r="H213" s="9" t="s">
        <v>164</v>
      </c>
      <c r="I213" s="10">
        <f t="shared" si="9"/>
        <v>21280</v>
      </c>
      <c r="J213" s="15">
        <v>10640</v>
      </c>
      <c r="K213" s="15">
        <v>5320</v>
      </c>
      <c r="L213" s="41">
        <v>5320</v>
      </c>
    </row>
    <row r="214" spans="1:12" s="1" customFormat="1" ht="15" customHeight="1">
      <c r="A214" s="12">
        <v>189</v>
      </c>
      <c r="B214" s="13" t="s">
        <v>158</v>
      </c>
      <c r="C214" s="9" t="s">
        <v>145</v>
      </c>
      <c r="D214" s="9" t="s">
        <v>167</v>
      </c>
      <c r="E214" s="9" t="s">
        <v>168</v>
      </c>
      <c r="F214" s="9" t="s">
        <v>229</v>
      </c>
      <c r="G214" s="9" t="s">
        <v>222</v>
      </c>
      <c r="H214" s="9" t="s">
        <v>164</v>
      </c>
      <c r="I214" s="10">
        <f t="shared" si="9"/>
        <v>34520</v>
      </c>
      <c r="J214" s="15">
        <v>17260</v>
      </c>
      <c r="K214" s="15">
        <v>8630</v>
      </c>
      <c r="L214" s="41">
        <v>8630</v>
      </c>
    </row>
    <row r="215" spans="1:12" s="1" customFormat="1" ht="15" customHeight="1">
      <c r="A215" s="12">
        <v>190</v>
      </c>
      <c r="B215" s="13" t="s">
        <v>158</v>
      </c>
      <c r="C215" s="9" t="s">
        <v>146</v>
      </c>
      <c r="D215" s="9" t="s">
        <v>167</v>
      </c>
      <c r="E215" s="9" t="s">
        <v>168</v>
      </c>
      <c r="F215" s="9" t="s">
        <v>229</v>
      </c>
      <c r="G215" s="9" t="s">
        <v>223</v>
      </c>
      <c r="H215" s="9" t="s">
        <v>164</v>
      </c>
      <c r="I215" s="10">
        <f t="shared" si="9"/>
        <v>418000</v>
      </c>
      <c r="J215" s="15">
        <v>209000</v>
      </c>
      <c r="K215" s="15">
        <v>104500</v>
      </c>
      <c r="L215" s="41">
        <v>104500</v>
      </c>
    </row>
    <row r="216" spans="1:12" s="1" customFormat="1" ht="15" customHeight="1">
      <c r="A216" s="12">
        <v>191</v>
      </c>
      <c r="B216" s="13" t="s">
        <v>158</v>
      </c>
      <c r="C216" s="9" t="s">
        <v>177</v>
      </c>
      <c r="D216" s="9" t="s">
        <v>167</v>
      </c>
      <c r="E216" s="9" t="s">
        <v>168</v>
      </c>
      <c r="F216" s="9" t="s">
        <v>229</v>
      </c>
      <c r="G216" s="9" t="s">
        <v>223</v>
      </c>
      <c r="H216" s="9" t="s">
        <v>164</v>
      </c>
      <c r="I216" s="10">
        <f t="shared" si="9"/>
        <v>7387</v>
      </c>
      <c r="J216" s="15">
        <v>5910</v>
      </c>
      <c r="K216" s="15">
        <v>1477</v>
      </c>
      <c r="L216" s="41">
        <v>0</v>
      </c>
    </row>
    <row r="217" spans="1:12" s="1" customFormat="1" ht="15" customHeight="1">
      <c r="A217" s="12">
        <v>192</v>
      </c>
      <c r="B217" s="13" t="s">
        <v>158</v>
      </c>
      <c r="C217" s="9" t="s">
        <v>178</v>
      </c>
      <c r="D217" s="9" t="s">
        <v>167</v>
      </c>
      <c r="E217" s="9" t="s">
        <v>168</v>
      </c>
      <c r="F217" s="9" t="s">
        <v>229</v>
      </c>
      <c r="G217" s="9" t="s">
        <v>223</v>
      </c>
      <c r="H217" s="9" t="s">
        <v>164</v>
      </c>
      <c r="I217" s="10">
        <f t="shared" si="9"/>
        <v>8708</v>
      </c>
      <c r="J217" s="15">
        <v>6966</v>
      </c>
      <c r="K217" s="15">
        <v>1742</v>
      </c>
      <c r="L217" s="41">
        <v>0</v>
      </c>
    </row>
    <row r="218" spans="1:12" s="1" customFormat="1" ht="15" customHeight="1">
      <c r="A218" s="12">
        <v>193</v>
      </c>
      <c r="B218" s="13" t="s">
        <v>158</v>
      </c>
      <c r="C218" s="9" t="s">
        <v>147</v>
      </c>
      <c r="D218" s="9" t="s">
        <v>167</v>
      </c>
      <c r="E218" s="9" t="s">
        <v>168</v>
      </c>
      <c r="F218" s="9" t="s">
        <v>225</v>
      </c>
      <c r="G218" s="9" t="s">
        <v>223</v>
      </c>
      <c r="H218" s="9" t="s">
        <v>164</v>
      </c>
      <c r="I218" s="10">
        <f t="shared" si="9"/>
        <v>18400</v>
      </c>
      <c r="J218" s="10">
        <v>0</v>
      </c>
      <c r="K218" s="10">
        <v>9200</v>
      </c>
      <c r="L218" s="40">
        <v>9200</v>
      </c>
    </row>
    <row r="219" spans="1:12" s="1" customFormat="1" ht="15" customHeight="1">
      <c r="A219" s="12">
        <v>194</v>
      </c>
      <c r="B219" s="13" t="s">
        <v>158</v>
      </c>
      <c r="C219" s="9" t="s">
        <v>237</v>
      </c>
      <c r="D219" s="9" t="s">
        <v>167</v>
      </c>
      <c r="E219" s="9" t="s">
        <v>168</v>
      </c>
      <c r="F219" s="9" t="s">
        <v>222</v>
      </c>
      <c r="G219" s="17" t="s">
        <v>222</v>
      </c>
      <c r="H219" s="9" t="s">
        <v>164</v>
      </c>
      <c r="I219" s="10">
        <f t="shared" si="9"/>
        <v>2060</v>
      </c>
      <c r="J219" s="10">
        <v>1030</v>
      </c>
      <c r="K219" s="10">
        <v>515</v>
      </c>
      <c r="L219" s="40">
        <v>515</v>
      </c>
    </row>
    <row r="220" spans="1:12" s="47" customFormat="1" ht="15" customHeight="1">
      <c r="A220" s="6">
        <v>195</v>
      </c>
      <c r="B220" s="7" t="s">
        <v>158</v>
      </c>
      <c r="C220" s="9" t="s">
        <v>260</v>
      </c>
      <c r="D220" s="9" t="s">
        <v>169</v>
      </c>
      <c r="E220" s="9" t="s">
        <v>168</v>
      </c>
      <c r="F220" s="9" t="s">
        <v>222</v>
      </c>
      <c r="G220" s="9" t="s">
        <v>222</v>
      </c>
      <c r="H220" s="9" t="s">
        <v>164</v>
      </c>
      <c r="I220" s="10">
        <f t="shared" si="9"/>
        <v>41060</v>
      </c>
      <c r="J220" s="10">
        <v>20530</v>
      </c>
      <c r="K220" s="10">
        <v>10265</v>
      </c>
      <c r="L220" s="40">
        <v>10265</v>
      </c>
    </row>
    <row r="221" spans="1:12" s="1" customFormat="1" ht="15" customHeight="1">
      <c r="A221" s="12">
        <v>196</v>
      </c>
      <c r="B221" s="7" t="s">
        <v>158</v>
      </c>
      <c r="C221" s="9" t="s">
        <v>137</v>
      </c>
      <c r="D221" s="9" t="s">
        <v>169</v>
      </c>
      <c r="E221" s="9" t="s">
        <v>168</v>
      </c>
      <c r="F221" s="9" t="s">
        <v>222</v>
      </c>
      <c r="G221" s="17" t="s">
        <v>222</v>
      </c>
      <c r="H221" s="9" t="s">
        <v>164</v>
      </c>
      <c r="I221" s="10">
        <f t="shared" si="9"/>
        <v>13300</v>
      </c>
      <c r="J221" s="10">
        <v>6650</v>
      </c>
      <c r="K221" s="10">
        <v>6650</v>
      </c>
      <c r="L221" s="40">
        <v>0</v>
      </c>
    </row>
    <row r="222" spans="1:12" ht="15" customHeight="1">
      <c r="A222" s="2"/>
      <c r="B222" s="3" t="s">
        <v>148</v>
      </c>
      <c r="C222" s="4"/>
      <c r="D222" s="18"/>
      <c r="E222" s="18"/>
      <c r="F222" s="18"/>
      <c r="G222" s="18"/>
      <c r="H222" s="18"/>
      <c r="I222" s="5">
        <f>SUM(I223:I224)</f>
        <v>108200</v>
      </c>
      <c r="J222" s="5">
        <f>SUM(J223:J224)</f>
        <v>45700</v>
      </c>
      <c r="K222" s="5">
        <f>SUM(K223:K224)</f>
        <v>0</v>
      </c>
      <c r="L222" s="39">
        <f>SUM(L223:L224)</f>
        <v>62500</v>
      </c>
    </row>
    <row r="223" spans="1:12" ht="15" customHeight="1">
      <c r="A223" s="6">
        <v>197</v>
      </c>
      <c r="B223" s="7" t="s">
        <v>148</v>
      </c>
      <c r="C223" s="9" t="s">
        <v>226</v>
      </c>
      <c r="D223" s="9" t="s">
        <v>162</v>
      </c>
      <c r="E223" s="9" t="s">
        <v>166</v>
      </c>
      <c r="F223" s="9" t="s">
        <v>225</v>
      </c>
      <c r="G223" s="9" t="s">
        <v>222</v>
      </c>
      <c r="H223" s="9" t="s">
        <v>164</v>
      </c>
      <c r="I223" s="10">
        <f>SUM(J223:L223)</f>
        <v>45700</v>
      </c>
      <c r="J223" s="10">
        <v>45700</v>
      </c>
      <c r="K223" s="10">
        <v>0</v>
      </c>
      <c r="L223" s="40">
        <v>0</v>
      </c>
    </row>
    <row r="224" spans="1:12" s="47" customFormat="1" ht="15" customHeight="1">
      <c r="A224" s="6">
        <v>198</v>
      </c>
      <c r="B224" s="7" t="s">
        <v>148</v>
      </c>
      <c r="C224" s="9" t="s">
        <v>257</v>
      </c>
      <c r="D224" s="9" t="s">
        <v>172</v>
      </c>
      <c r="E224" s="9" t="s">
        <v>163</v>
      </c>
      <c r="F224" s="9" t="s">
        <v>222</v>
      </c>
      <c r="G224" s="9" t="s">
        <v>222</v>
      </c>
      <c r="H224" s="9" t="s">
        <v>164</v>
      </c>
      <c r="I224" s="10">
        <f>SUM(J224:L224)</f>
        <v>62500</v>
      </c>
      <c r="J224" s="10"/>
      <c r="K224" s="10"/>
      <c r="L224" s="48">
        <v>62500</v>
      </c>
    </row>
    <row r="225" spans="1:12" ht="15" customHeight="1">
      <c r="A225" s="2"/>
      <c r="B225" s="3" t="s">
        <v>149</v>
      </c>
      <c r="C225" s="4"/>
      <c r="D225" s="18"/>
      <c r="E225" s="18"/>
      <c r="F225" s="18"/>
      <c r="G225" s="18"/>
      <c r="H225" s="18"/>
      <c r="I225" s="5">
        <f>SUM(I226:I232)</f>
        <v>282288</v>
      </c>
      <c r="J225" s="5">
        <f>SUM(J226:J232)</f>
        <v>1000</v>
      </c>
      <c r="K225" s="5">
        <f>SUM(K226:K232)</f>
        <v>72554</v>
      </c>
      <c r="L225" s="39">
        <f>SUM(L226:L232)</f>
        <v>208734</v>
      </c>
    </row>
    <row r="226" spans="1:12" s="47" customFormat="1" ht="15" customHeight="1">
      <c r="A226" s="6">
        <v>199</v>
      </c>
      <c r="B226" s="7" t="s">
        <v>149</v>
      </c>
      <c r="C226" s="9" t="s">
        <v>150</v>
      </c>
      <c r="D226" s="9" t="s">
        <v>162</v>
      </c>
      <c r="E226" s="9" t="s">
        <v>165</v>
      </c>
      <c r="F226" s="9" t="s">
        <v>222</v>
      </c>
      <c r="G226" s="9" t="s">
        <v>222</v>
      </c>
      <c r="H226" s="9" t="s">
        <v>164</v>
      </c>
      <c r="I226" s="10">
        <f t="shared" ref="I226:I232" si="10">SUM(J226:L226)</f>
        <v>122783</v>
      </c>
      <c r="J226" s="10">
        <v>0</v>
      </c>
      <c r="K226" s="10">
        <v>20000</v>
      </c>
      <c r="L226" s="40">
        <v>102783</v>
      </c>
    </row>
    <row r="227" spans="1:12" s="47" customFormat="1" ht="15" customHeight="1">
      <c r="A227" s="6">
        <v>200</v>
      </c>
      <c r="B227" s="7" t="s">
        <v>149</v>
      </c>
      <c r="C227" s="9" t="s">
        <v>249</v>
      </c>
      <c r="D227" s="9" t="s">
        <v>172</v>
      </c>
      <c r="E227" s="9" t="s">
        <v>163</v>
      </c>
      <c r="F227" s="9" t="s">
        <v>222</v>
      </c>
      <c r="G227" s="9" t="s">
        <v>222</v>
      </c>
      <c r="H227" s="9" t="s">
        <v>164</v>
      </c>
      <c r="I227" s="10">
        <f t="shared" si="10"/>
        <v>48040</v>
      </c>
      <c r="J227" s="10"/>
      <c r="K227" s="10">
        <v>24020</v>
      </c>
      <c r="L227" s="48">
        <v>24020</v>
      </c>
    </row>
    <row r="228" spans="1:12" s="47" customFormat="1" ht="15" customHeight="1">
      <c r="A228" s="6">
        <v>201</v>
      </c>
      <c r="B228" s="7" t="s">
        <v>149</v>
      </c>
      <c r="C228" s="9" t="s">
        <v>250</v>
      </c>
      <c r="D228" s="9" t="s">
        <v>162</v>
      </c>
      <c r="E228" s="9" t="s">
        <v>165</v>
      </c>
      <c r="F228" s="9" t="s">
        <v>222</v>
      </c>
      <c r="G228" s="9" t="s">
        <v>222</v>
      </c>
      <c r="H228" s="9" t="s">
        <v>164</v>
      </c>
      <c r="I228" s="10">
        <f t="shared" si="10"/>
        <v>1428</v>
      </c>
      <c r="J228" s="10">
        <v>1000</v>
      </c>
      <c r="K228" s="10">
        <v>214</v>
      </c>
      <c r="L228" s="48">
        <v>214</v>
      </c>
    </row>
    <row r="229" spans="1:12" s="47" customFormat="1" ht="15" customHeight="1">
      <c r="A229" s="6">
        <v>202</v>
      </c>
      <c r="B229" s="7" t="s">
        <v>149</v>
      </c>
      <c r="C229" s="9" t="s">
        <v>151</v>
      </c>
      <c r="D229" s="9" t="s">
        <v>162</v>
      </c>
      <c r="E229" s="9" t="s">
        <v>165</v>
      </c>
      <c r="F229" s="9" t="s">
        <v>222</v>
      </c>
      <c r="G229" s="9" t="s">
        <v>222</v>
      </c>
      <c r="H229" s="9" t="s">
        <v>164</v>
      </c>
      <c r="I229" s="10">
        <f t="shared" si="10"/>
        <v>11672</v>
      </c>
      <c r="J229" s="10">
        <v>0</v>
      </c>
      <c r="K229" s="10"/>
      <c r="L229" s="40">
        <v>11672</v>
      </c>
    </row>
    <row r="230" spans="1:12" s="47" customFormat="1" ht="15" customHeight="1">
      <c r="A230" s="6">
        <v>203</v>
      </c>
      <c r="B230" s="7" t="s">
        <v>149</v>
      </c>
      <c r="C230" s="9" t="s">
        <v>152</v>
      </c>
      <c r="D230" s="9" t="s">
        <v>162</v>
      </c>
      <c r="E230" s="9" t="s">
        <v>165</v>
      </c>
      <c r="F230" s="9" t="s">
        <v>224</v>
      </c>
      <c r="G230" s="9" t="s">
        <v>222</v>
      </c>
      <c r="H230" s="9" t="s">
        <v>164</v>
      </c>
      <c r="I230" s="10">
        <f t="shared" si="10"/>
        <v>18862</v>
      </c>
      <c r="J230" s="10">
        <v>0</v>
      </c>
      <c r="K230" s="10">
        <v>0</v>
      </c>
      <c r="L230" s="40">
        <v>18862</v>
      </c>
    </row>
    <row r="231" spans="1:12" s="47" customFormat="1" ht="15" customHeight="1">
      <c r="A231" s="6">
        <v>204</v>
      </c>
      <c r="B231" s="7" t="s">
        <v>149</v>
      </c>
      <c r="C231" s="9" t="s">
        <v>153</v>
      </c>
      <c r="D231" s="9" t="s">
        <v>162</v>
      </c>
      <c r="E231" s="9" t="s">
        <v>165</v>
      </c>
      <c r="F231" s="9" t="s">
        <v>224</v>
      </c>
      <c r="G231" s="9" t="s">
        <v>222</v>
      </c>
      <c r="H231" s="9" t="s">
        <v>164</v>
      </c>
      <c r="I231" s="10">
        <f t="shared" si="10"/>
        <v>34690</v>
      </c>
      <c r="J231" s="10">
        <v>0</v>
      </c>
      <c r="K231" s="10">
        <v>0</v>
      </c>
      <c r="L231" s="40">
        <v>34690</v>
      </c>
    </row>
    <row r="232" spans="1:12" s="47" customFormat="1" ht="15" customHeight="1">
      <c r="A232" s="6">
        <v>205</v>
      </c>
      <c r="B232" s="7" t="s">
        <v>149</v>
      </c>
      <c r="C232" s="9" t="s">
        <v>176</v>
      </c>
      <c r="D232" s="9" t="s">
        <v>162</v>
      </c>
      <c r="E232" s="9" t="s">
        <v>165</v>
      </c>
      <c r="F232" s="9" t="s">
        <v>222</v>
      </c>
      <c r="G232" s="9" t="s">
        <v>222</v>
      </c>
      <c r="H232" s="9" t="s">
        <v>171</v>
      </c>
      <c r="I232" s="10">
        <f t="shared" si="10"/>
        <v>44813</v>
      </c>
      <c r="J232" s="10">
        <v>0</v>
      </c>
      <c r="K232" s="10">
        <v>28320</v>
      </c>
      <c r="L232" s="40">
        <v>16493</v>
      </c>
    </row>
    <row r="233" spans="1:12" ht="15" customHeight="1">
      <c r="A233" s="2"/>
      <c r="B233" s="3" t="s">
        <v>154</v>
      </c>
      <c r="C233" s="4"/>
      <c r="D233" s="18"/>
      <c r="E233" s="18"/>
      <c r="F233" s="18"/>
      <c r="G233" s="18"/>
      <c r="H233" s="18"/>
      <c r="I233" s="5">
        <f>SUM(I234:I239)</f>
        <v>362627</v>
      </c>
      <c r="J233" s="5">
        <f>SUM(J234:J239)</f>
        <v>0</v>
      </c>
      <c r="K233" s="5">
        <f>SUM(K234:K239)</f>
        <v>48630</v>
      </c>
      <c r="L233" s="39">
        <f>SUM(L234:L239)</f>
        <v>313997</v>
      </c>
    </row>
    <row r="234" spans="1:12" s="43" customFormat="1" ht="15" customHeight="1">
      <c r="A234" s="6">
        <v>206</v>
      </c>
      <c r="B234" s="7" t="s">
        <v>154</v>
      </c>
      <c r="C234" s="9" t="s">
        <v>254</v>
      </c>
      <c r="D234" s="9" t="s">
        <v>162</v>
      </c>
      <c r="E234" s="9" t="s">
        <v>166</v>
      </c>
      <c r="F234" s="9" t="s">
        <v>222</v>
      </c>
      <c r="G234" s="9" t="s">
        <v>227</v>
      </c>
      <c r="H234" s="9" t="s">
        <v>164</v>
      </c>
      <c r="I234" s="10">
        <f t="shared" ref="I234:I239" si="11">SUM(J234:L234)</f>
        <v>245000</v>
      </c>
      <c r="J234" s="10"/>
      <c r="K234" s="10"/>
      <c r="L234" s="40">
        <f>735000/3</f>
        <v>245000</v>
      </c>
    </row>
    <row r="235" spans="1:12" s="43" customFormat="1" ht="15" customHeight="1">
      <c r="A235" s="6">
        <v>207</v>
      </c>
      <c r="B235" s="7" t="s">
        <v>154</v>
      </c>
      <c r="C235" s="9" t="s">
        <v>155</v>
      </c>
      <c r="D235" s="9" t="s">
        <v>162</v>
      </c>
      <c r="E235" s="9" t="s">
        <v>166</v>
      </c>
      <c r="F235" s="9" t="s">
        <v>225</v>
      </c>
      <c r="G235" s="9" t="s">
        <v>222</v>
      </c>
      <c r="H235" s="9" t="s">
        <v>164</v>
      </c>
      <c r="I235" s="10">
        <f t="shared" si="11"/>
        <v>91700</v>
      </c>
      <c r="J235" s="10">
        <v>0</v>
      </c>
      <c r="K235" s="10">
        <v>39000</v>
      </c>
      <c r="L235" s="40">
        <v>52700</v>
      </c>
    </row>
    <row r="236" spans="1:12" s="43" customFormat="1" ht="15" customHeight="1">
      <c r="A236" s="6">
        <v>208</v>
      </c>
      <c r="B236" s="7" t="s">
        <v>154</v>
      </c>
      <c r="C236" s="9" t="s">
        <v>238</v>
      </c>
      <c r="D236" s="9" t="s">
        <v>162</v>
      </c>
      <c r="E236" s="9" t="s">
        <v>166</v>
      </c>
      <c r="F236" s="9" t="s">
        <v>222</v>
      </c>
      <c r="G236" s="9" t="s">
        <v>222</v>
      </c>
      <c r="H236" s="9" t="s">
        <v>164</v>
      </c>
      <c r="I236" s="10">
        <f t="shared" si="11"/>
        <v>16667</v>
      </c>
      <c r="J236" s="10">
        <v>0</v>
      </c>
      <c r="K236" s="10">
        <v>5000</v>
      </c>
      <c r="L236" s="40">
        <v>11667</v>
      </c>
    </row>
    <row r="237" spans="1:12" s="43" customFormat="1" ht="15" customHeight="1">
      <c r="A237" s="6">
        <v>209</v>
      </c>
      <c r="B237" s="7" t="s">
        <v>154</v>
      </c>
      <c r="C237" s="9" t="s">
        <v>239</v>
      </c>
      <c r="D237" s="9" t="s">
        <v>162</v>
      </c>
      <c r="E237" s="9" t="s">
        <v>166</v>
      </c>
      <c r="F237" s="9" t="s">
        <v>228</v>
      </c>
      <c r="G237" s="9" t="s">
        <v>222</v>
      </c>
      <c r="H237" s="9" t="s">
        <v>164</v>
      </c>
      <c r="I237" s="10">
        <f t="shared" si="11"/>
        <v>3000</v>
      </c>
      <c r="J237" s="10">
        <v>0</v>
      </c>
      <c r="K237" s="10">
        <v>1500</v>
      </c>
      <c r="L237" s="40">
        <v>1500</v>
      </c>
    </row>
    <row r="238" spans="1:12" s="43" customFormat="1" ht="15" customHeight="1">
      <c r="A238" s="6">
        <v>210</v>
      </c>
      <c r="B238" s="7" t="s">
        <v>154</v>
      </c>
      <c r="C238" s="9" t="s">
        <v>240</v>
      </c>
      <c r="D238" s="9" t="s">
        <v>162</v>
      </c>
      <c r="E238" s="9" t="s">
        <v>166</v>
      </c>
      <c r="F238" s="9" t="s">
        <v>221</v>
      </c>
      <c r="G238" s="9" t="s">
        <v>222</v>
      </c>
      <c r="H238" s="9" t="s">
        <v>164</v>
      </c>
      <c r="I238" s="10">
        <f t="shared" si="11"/>
        <v>2860</v>
      </c>
      <c r="J238" s="10">
        <v>0</v>
      </c>
      <c r="K238" s="10">
        <v>1430</v>
      </c>
      <c r="L238" s="40">
        <v>1430</v>
      </c>
    </row>
    <row r="239" spans="1:12" s="43" customFormat="1" ht="15" customHeight="1" thickBot="1">
      <c r="A239" s="44">
        <v>211</v>
      </c>
      <c r="B239" s="22" t="s">
        <v>154</v>
      </c>
      <c r="C239" s="21" t="s">
        <v>241</v>
      </c>
      <c r="D239" s="21" t="s">
        <v>172</v>
      </c>
      <c r="E239" s="21" t="s">
        <v>166</v>
      </c>
      <c r="F239" s="21" t="s">
        <v>222</v>
      </c>
      <c r="G239" s="21" t="s">
        <v>222</v>
      </c>
      <c r="H239" s="21" t="s">
        <v>164</v>
      </c>
      <c r="I239" s="45">
        <f t="shared" si="11"/>
        <v>3400</v>
      </c>
      <c r="J239" s="45">
        <v>0</v>
      </c>
      <c r="K239" s="45">
        <v>1700</v>
      </c>
      <c r="L239" s="46">
        <v>1700</v>
      </c>
    </row>
  </sheetData>
  <mergeCells count="10">
    <mergeCell ref="A1:L2"/>
    <mergeCell ref="A4:A5"/>
    <mergeCell ref="B4:B5"/>
    <mergeCell ref="C4:C5"/>
    <mergeCell ref="D4:D5"/>
    <mergeCell ref="E4:E5"/>
    <mergeCell ref="F4:F5"/>
    <mergeCell ref="G4:G5"/>
    <mergeCell ref="H4:H5"/>
    <mergeCell ref="I4:L4"/>
  </mergeCells>
  <phoneticPr fontId="3" type="noConversion"/>
  <dataValidations count="5">
    <dataValidation type="list" allowBlank="1" showInputMessage="1" showErrorMessage="1" sqref="H9:H239">
      <formula1>"1.직접,2.간접"</formula1>
    </dataValidation>
    <dataValidation type="list" allowBlank="1" showInputMessage="1" showErrorMessage="1" sqref="D9:D239">
      <formula1>"1.생존권,2.보호권,3.발달권,4.참여권"</formula1>
    </dataValidation>
    <dataValidation type="list" allowBlank="1" showInputMessage="1" showErrorMessage="1" sqref="G9:G126 G128:G239">
      <formula1>"1.만18세 미만 모든 아동,2.저소득가정,3.다문화가정,4.장애아동,5.학교밖,6.취약계층(2개이상중복)"</formula1>
    </dataValidation>
    <dataValidation type="list" allowBlank="1" showInputMessage="1" showErrorMessage="1" sqref="F9:F126 F128:F239">
      <formula1>"1.만18세 미만 모든 아동,2.영유아(만0~6세),3.초등(만7~12세),4.중·고등(만13~18세),5.영유아·초등(만0~12세),6.초·중·고(만7~18세)"</formula1>
    </dataValidation>
    <dataValidation type="list" allowBlank="1" showInputMessage="1" showErrorMessage="1" sqref="E9:E126 E128:E239">
      <formula1>"1.놀이와여가,2.참여와 시민의식,3.안전과 보호,4.보건과 사회서비스,5.교육환경,6.주거환경"</formula1>
    </dataValidation>
  </dataValidations>
  <pageMargins left="0.39370078740157483" right="0.23622047244094491" top="0.74803149606299213" bottom="0.74803149606299213" header="0.31496062992125984" footer="0.31496062992125984"/>
  <pageSetup paperSize="9" scale="7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아동친화예산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2023-08-14T07:18:08Z</cp:lastPrinted>
  <dcterms:created xsi:type="dcterms:W3CDTF">2022-06-30T06:05:04Z</dcterms:created>
  <dcterms:modified xsi:type="dcterms:W3CDTF">2023-09-11T06:01:46Z</dcterms:modified>
</cp:coreProperties>
</file>